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elizabethtavares/Desktop/Corn Hill 2026:2027/"/>
    </mc:Choice>
  </mc:AlternateContent>
  <xr:revisionPtr revIDLastSave="0" documentId="8_{895C1D91-50F4-E543-BD28-F4388C4D6BE5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5-Yr Data" sheetId="1" r:id="rId1"/>
    <sheet name="5-Yr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H38" i="1"/>
  <c r="B38" i="1"/>
  <c r="B37" i="1"/>
  <c r="G29" i="1"/>
  <c r="F29" i="1"/>
  <c r="E29" i="1"/>
  <c r="C29" i="1"/>
  <c r="B29" i="1"/>
  <c r="I16" i="1"/>
  <c r="H16" i="1"/>
  <c r="G16" i="1"/>
  <c r="F16" i="1"/>
  <c r="E16" i="1"/>
  <c r="C16" i="1"/>
  <c r="B16" i="1"/>
  <c r="G37" i="1"/>
  <c r="F37" i="1"/>
  <c r="E37" i="1"/>
  <c r="C37" i="1"/>
  <c r="G26" i="1"/>
  <c r="F26" i="1"/>
  <c r="E26" i="1"/>
  <c r="C26" i="1"/>
  <c r="B26" i="1"/>
  <c r="C4" i="1"/>
  <c r="D4" i="1" s="1"/>
  <c r="E4" i="1" s="1"/>
  <c r="F4" i="1" s="1"/>
  <c r="G4" i="1" s="1"/>
  <c r="D8" i="1"/>
  <c r="I27" i="1"/>
  <c r="I25" i="1"/>
  <c r="I24" i="1"/>
  <c r="I23" i="1"/>
  <c r="I22" i="1"/>
  <c r="I18" i="1"/>
  <c r="E14" i="1"/>
  <c r="E21" i="1"/>
  <c r="E13" i="1"/>
  <c r="E8" i="1"/>
  <c r="H27" i="1"/>
  <c r="H25" i="1"/>
  <c r="H24" i="1"/>
  <c r="H23" i="1"/>
  <c r="H22" i="1"/>
  <c r="H18" i="1"/>
  <c r="H17" i="1"/>
  <c r="G13" i="1"/>
  <c r="F13" i="1"/>
  <c r="C13" i="1"/>
  <c r="B13" i="1"/>
  <c r="C21" i="1"/>
  <c r="B21" i="1"/>
  <c r="G21" i="1"/>
  <c r="I21" i="1" s="1"/>
  <c r="F21" i="1"/>
  <c r="B8" i="1"/>
  <c r="C8" i="1"/>
  <c r="F8" i="1"/>
  <c r="I13" i="1" l="1"/>
  <c r="H26" i="1"/>
  <c r="I26" i="1"/>
  <c r="H13" i="1"/>
  <c r="H21" i="1"/>
  <c r="G38" i="1"/>
  <c r="E31" i="1" l="1"/>
  <c r="E38" i="1"/>
  <c r="B31" i="1"/>
  <c r="C31" i="1"/>
  <c r="C38" i="1"/>
  <c r="F31" i="1"/>
  <c r="F38" i="1"/>
  <c r="H29" i="1"/>
  <c r="I29" i="1"/>
  <c r="G8" i="1"/>
  <c r="I8" i="1" s="1"/>
  <c r="G31" i="1" l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Toby Wright</author>
  </authors>
  <commentList>
    <comment ref="B14" authorId="0" shapeId="0" xr:uid="{954C3F0E-E8DE-4D40-BF71-5D25C1FE5040}">
      <text>
        <r>
          <rPr>
            <b/>
            <sz val="9"/>
            <color indexed="81"/>
            <rFont val="Tahoma"/>
            <family val="2"/>
          </rPr>
          <t>Toby Wright:</t>
        </r>
        <r>
          <rPr>
            <sz val="9"/>
            <color indexed="81"/>
            <rFont val="Tahoma"/>
            <family val="2"/>
          </rPr>
          <t xml:space="preserve">
elec 493 / plumbing 319 / carpentry 1131/ misc. 106  - All approved
</t>
        </r>
      </text>
    </comment>
    <comment ref="B17" authorId="0" shapeId="0" xr:uid="{D86A72D4-1DAD-43CE-B2E9-DD15A6E5C2FE}">
      <text>
        <r>
          <rPr>
            <b/>
            <sz val="9"/>
            <color indexed="81"/>
            <rFont val="Tahoma"/>
            <family val="2"/>
          </rPr>
          <t>Toby Wright:</t>
        </r>
        <r>
          <rPr>
            <sz val="9"/>
            <color indexed="81"/>
            <rFont val="Tahoma"/>
            <family val="2"/>
          </rPr>
          <t xml:space="preserve">
several bulk p/u's / per Scott:ok to leave smaller items on-going; cont. to consolidate larger bulk p/u &amp; brush</t>
        </r>
      </text>
    </comment>
    <comment ref="B18" authorId="0" shapeId="0" xr:uid="{2AD01FA0-6B53-4515-8E75-D6FF7E69F565}">
      <text>
        <r>
          <rPr>
            <b/>
            <sz val="9"/>
            <color indexed="81"/>
            <rFont val="Tahoma"/>
            <family val="2"/>
          </rPr>
          <t>Toby Wright:</t>
        </r>
        <r>
          <rPr>
            <sz val="9"/>
            <color indexed="81"/>
            <rFont val="Tahoma"/>
            <family val="2"/>
          </rPr>
          <t xml:space="preserve">
Paid off early(in Dec), saved on 10 months of finance charges
</t>
        </r>
      </text>
    </comment>
    <comment ref="B28" authorId="0" shapeId="0" xr:uid="{44384AC0-4B3A-48D5-8641-1BFBC99E3C1F}">
      <text>
        <r>
          <rPr>
            <b/>
            <sz val="9"/>
            <color indexed="81"/>
            <rFont val="Tahoma"/>
            <family val="2"/>
          </rPr>
          <t>Toby Wright:</t>
        </r>
        <r>
          <rPr>
            <sz val="9"/>
            <color indexed="81"/>
            <rFont val="Tahoma"/>
            <family val="2"/>
          </rPr>
          <t xml:space="preserve">
Contributions :Truro Rescue</t>
        </r>
      </text>
    </comment>
    <comment ref="E40" authorId="0" shapeId="0" xr:uid="{1518F4D4-54C4-4A40-8CAA-FCB0602FAFA5}">
      <text>
        <r>
          <rPr>
            <b/>
            <sz val="9"/>
            <color indexed="81"/>
            <rFont val="Tahoma"/>
            <family val="2"/>
          </rPr>
          <t>Toby Wright:</t>
        </r>
        <r>
          <rPr>
            <sz val="9"/>
            <color indexed="81"/>
            <rFont val="Tahoma"/>
            <family val="2"/>
          </rPr>
          <t xml:space="preserve">
in checking
</t>
        </r>
      </text>
    </comment>
  </commentList>
</comments>
</file>

<file path=xl/sharedStrings.xml><?xml version="1.0" encoding="utf-8"?>
<sst xmlns="http://schemas.openxmlformats.org/spreadsheetml/2006/main" count="53" uniqueCount="46">
  <si>
    <t>Condo fees</t>
  </si>
  <si>
    <t>Interest</t>
  </si>
  <si>
    <t>Insurance</t>
  </si>
  <si>
    <t>Utilities: Gas</t>
  </si>
  <si>
    <t>Variable Expenses</t>
  </si>
  <si>
    <t>Trash Pick Up</t>
  </si>
  <si>
    <t>Accountant,taxes &amp; bookkeeping</t>
  </si>
  <si>
    <t>Prop Mgt: OnTime Mgt: routine maint./opening &amp; closing, etc</t>
  </si>
  <si>
    <t>Other</t>
  </si>
  <si>
    <t xml:space="preserve">   </t>
  </si>
  <si>
    <t>Prop Mgt: Plumber:opening &amp; closingwater / gas</t>
  </si>
  <si>
    <t>Repairs/Maint, misc. supplies - incl. elec., plumb, carpentry,etc</t>
  </si>
  <si>
    <t>Accountant,taxes,etc</t>
  </si>
  <si>
    <t>Net income/loss after ordinary expenses</t>
  </si>
  <si>
    <t>Extraordinary expense: Legal Fees</t>
  </si>
  <si>
    <t>Total Revenue</t>
  </si>
  <si>
    <t>Revenue</t>
  </si>
  <si>
    <t>Ordinary Expenses</t>
  </si>
  <si>
    <t>Utilities:Electric</t>
  </si>
  <si>
    <t>Utilities: Water Sampling, etc.</t>
  </si>
  <si>
    <t xml:space="preserve">Special Projects </t>
  </si>
  <si>
    <t>Actual 
FY 2022</t>
  </si>
  <si>
    <t>Actual 
FY 2023</t>
  </si>
  <si>
    <t>Actual 
FY 2024</t>
  </si>
  <si>
    <t>Actual 
FY 2025</t>
  </si>
  <si>
    <t>Actual 
FY 2026</t>
  </si>
  <si>
    <t>Actual 
FY 2021</t>
  </si>
  <si>
    <t>Land Survey</t>
  </si>
  <si>
    <t>Septic pump outs &amp; inspections</t>
  </si>
  <si>
    <t>Special Assessment Funds</t>
  </si>
  <si>
    <t>5-Year 
% Change</t>
  </si>
  <si>
    <t>Gifts to reserve</t>
  </si>
  <si>
    <t>Actual CH Acct Balances as of Yr end  (9/30) Reserve</t>
  </si>
  <si>
    <t>5-Year 
$ Change</t>
  </si>
  <si>
    <t>increased investment in infratsurture</t>
  </si>
  <si>
    <t>Accounting Subtotal</t>
  </si>
  <si>
    <t xml:space="preserve">Misc:fire ext inspects,fees, postage etc. </t>
  </si>
  <si>
    <t>Utitlities Subtotal</t>
  </si>
  <si>
    <t>Increased energy costs</t>
  </si>
  <si>
    <t>Extraordinary Expense Subtotal</t>
  </si>
  <si>
    <t>Total Ordinary Expenses</t>
  </si>
  <si>
    <t>Total Expense</t>
  </si>
  <si>
    <t>Property Management Subtotal</t>
  </si>
  <si>
    <t>Repairs &amp; Maint. Subtotal</t>
  </si>
  <si>
    <t>DRAFT</t>
  </si>
  <si>
    <r>
      <rPr>
        <b/>
        <sz val="28"/>
        <color theme="1"/>
        <rFont val="Arial"/>
        <family val="2"/>
      </rPr>
      <t>CORN HILL CONDO ASSOC</t>
    </r>
    <r>
      <rPr>
        <i/>
        <sz val="28"/>
        <color theme="1"/>
        <rFont val="Arial"/>
        <family val="2"/>
      </rPr>
      <t xml:space="preserve">     Fiscal Year-on-Year Cost Review   10/1/21 - 9/30/26  </t>
    </r>
    <r>
      <rPr>
        <i/>
        <sz val="28"/>
        <color rgb="FFFF0000"/>
        <rFont val="Arial"/>
        <family val="2"/>
      </rPr>
      <t xml:space="preserve">  **as of 10/9/26    </t>
    </r>
    <r>
      <rPr>
        <i/>
        <sz val="28"/>
        <color theme="1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</si>
</sst>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name val="Arial"/>
      <family val="2"/>
    </font>
    <font>
      <b/>
      <i/>
      <sz val="10"/>
      <color rgb="FFFF0000"/>
      <name val="Arial"/>
      <family val="2"/>
    </font>
    <font>
      <b/>
      <sz val="11"/>
      <color rgb="FF008000"/>
      <name val="Tempus Sans ITC"/>
      <family val="5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i/>
      <sz val="14"/>
      <name val="Arial"/>
      <family val="2"/>
    </font>
    <font>
      <i/>
      <sz val="18"/>
      <name val="Arial"/>
      <family val="2"/>
    </font>
    <font>
      <i/>
      <sz val="20"/>
      <name val="Arial"/>
      <family val="2"/>
    </font>
    <font>
      <i/>
      <sz val="28"/>
      <color theme="1"/>
      <name val="Tempus Sans ITC"/>
      <family val="5"/>
    </font>
    <font>
      <b/>
      <sz val="22"/>
      <name val="Arial"/>
      <family val="2"/>
    </font>
    <font>
      <sz val="22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8"/>
      <color indexed="9"/>
      <name val="Arial"/>
      <family val="2"/>
    </font>
    <font>
      <b/>
      <sz val="26"/>
      <name val="Arial"/>
      <family val="2"/>
    </font>
    <font>
      <sz val="14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i/>
      <sz val="28"/>
      <color rgb="FFFF0000"/>
      <name val="Arial"/>
      <family val="2"/>
    </font>
    <font>
      <sz val="20"/>
      <color theme="1"/>
      <name val="Libre Franklin"/>
    </font>
    <font>
      <b/>
      <sz val="20"/>
      <color theme="1"/>
      <name val="Libre Franklin"/>
    </font>
    <font>
      <i/>
      <sz val="20"/>
      <color indexed="9"/>
      <name val="Tempus Sans ITC"/>
      <family val="5"/>
    </font>
    <font>
      <b/>
      <sz val="20"/>
      <color indexed="17"/>
      <name val="Tempus Sans ITC"/>
      <family val="5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Libre Franklin"/>
    </font>
    <font>
      <sz val="10"/>
      <color rgb="FF000000"/>
      <name val="Calibri"/>
      <family val="2"/>
      <scheme val="minor"/>
    </font>
    <font>
      <b/>
      <sz val="72"/>
      <color rgb="FFFF0000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7" fillId="0" borderId="0" applyFont="0" applyFill="0" applyBorder="0" applyAlignment="0" applyProtection="0"/>
    <xf numFmtId="0" fontId="32" fillId="0" borderId="0"/>
  </cellStyleXfs>
  <cellXfs count="60">
    <xf numFmtId="0" fontId="0" fillId="0" borderId="0" xfId="0"/>
    <xf numFmtId="0" fontId="1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9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8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0" fillId="0" borderId="1" xfId="0" applyFont="1" applyBorder="1" applyProtection="1">
      <protection locked="0"/>
    </xf>
    <xf numFmtId="6" fontId="25" fillId="0" borderId="1" xfId="0" applyNumberFormat="1" applyFont="1" applyBorder="1" applyAlignment="1">
      <alignment horizontal="center"/>
    </xf>
    <xf numFmtId="6" fontId="26" fillId="0" borderId="1" xfId="0" applyNumberFormat="1" applyFont="1" applyBorder="1" applyAlignment="1">
      <alignment horizontal="center"/>
    </xf>
    <xf numFmtId="0" fontId="27" fillId="0" borderId="0" xfId="0" applyFont="1" applyAlignment="1" applyProtection="1">
      <alignment horizontal="left" vertical="center"/>
      <protection locked="0"/>
    </xf>
    <xf numFmtId="0" fontId="18" fillId="0" borderId="1" xfId="0" applyFont="1" applyBorder="1" applyAlignment="1" applyProtection="1">
      <alignment horizontal="left"/>
      <protection locked="0"/>
    </xf>
    <xf numFmtId="6" fontId="25" fillId="3" borderId="1" xfId="0" applyNumberFormat="1" applyFont="1" applyFill="1" applyBorder="1" applyAlignment="1">
      <alignment horizontal="center"/>
    </xf>
    <xf numFmtId="0" fontId="10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right"/>
      <protection locked="0"/>
    </xf>
    <xf numFmtId="6" fontId="25" fillId="0" borderId="2" xfId="0" applyNumberFormat="1" applyFont="1" applyBorder="1" applyAlignment="1">
      <alignment horizontal="center"/>
    </xf>
    <xf numFmtId="6" fontId="25" fillId="0" borderId="3" xfId="0" applyNumberFormat="1" applyFont="1" applyBorder="1" applyAlignment="1">
      <alignment horizontal="center"/>
    </xf>
    <xf numFmtId="0" fontId="10" fillId="0" borderId="4" xfId="0" applyFont="1" applyBorder="1" applyProtection="1">
      <protection locked="0"/>
    </xf>
    <xf numFmtId="6" fontId="25" fillId="0" borderId="6" xfId="0" applyNumberFormat="1" applyFont="1" applyBorder="1" applyAlignment="1">
      <alignment horizontal="center"/>
    </xf>
    <xf numFmtId="6" fontId="25" fillId="0" borderId="7" xfId="0" applyNumberFormat="1" applyFont="1" applyBorder="1" applyAlignment="1">
      <alignment horizontal="center"/>
    </xf>
    <xf numFmtId="0" fontId="10" fillId="0" borderId="8" xfId="0" applyFont="1" applyBorder="1" applyProtection="1">
      <protection locked="0"/>
    </xf>
    <xf numFmtId="6" fontId="25" fillId="0" borderId="9" xfId="0" applyNumberFormat="1" applyFont="1" applyBorder="1" applyAlignment="1">
      <alignment horizontal="center"/>
    </xf>
    <xf numFmtId="6" fontId="26" fillId="0" borderId="11" xfId="0" applyNumberFormat="1" applyFont="1" applyBorder="1" applyAlignment="1">
      <alignment horizontal="center"/>
    </xf>
    <xf numFmtId="6" fontId="25" fillId="0" borderId="11" xfId="0" applyNumberFormat="1" applyFont="1" applyBorder="1" applyAlignment="1">
      <alignment horizontal="center"/>
    </xf>
    <xf numFmtId="6" fontId="26" fillId="0" borderId="12" xfId="0" applyNumberFormat="1" applyFont="1" applyBorder="1" applyAlignment="1">
      <alignment horizontal="center"/>
    </xf>
    <xf numFmtId="0" fontId="9" fillId="0" borderId="10" xfId="0" applyFont="1" applyBorder="1" applyAlignment="1" applyProtection="1">
      <alignment horizontal="right"/>
      <protection locked="0"/>
    </xf>
    <xf numFmtId="0" fontId="18" fillId="0" borderId="0" xfId="0" applyFont="1" applyProtection="1">
      <protection locked="0"/>
    </xf>
    <xf numFmtId="6" fontId="31" fillId="0" borderId="1" xfId="0" applyNumberFormat="1" applyFont="1" applyBorder="1" applyAlignment="1">
      <alignment horizontal="center"/>
    </xf>
    <xf numFmtId="0" fontId="1" fillId="0" borderId="0" xfId="0" applyFont="1"/>
    <xf numFmtId="9" fontId="10" fillId="0" borderId="0" xfId="171" applyFont="1" applyAlignment="1">
      <alignment horizontal="center" vertical="center"/>
    </xf>
    <xf numFmtId="6" fontId="0" fillId="0" borderId="0" xfId="0" applyNumberFormat="1"/>
    <xf numFmtId="6" fontId="25" fillId="0" borderId="0" xfId="0" applyNumberFormat="1" applyFont="1" applyAlignment="1">
      <alignment horizontal="center"/>
    </xf>
    <xf numFmtId="6" fontId="26" fillId="0" borderId="0" xfId="0" applyNumberFormat="1" applyFont="1" applyAlignment="1">
      <alignment horizontal="center"/>
    </xf>
    <xf numFmtId="0" fontId="5" fillId="0" borderId="0" xfId="0" applyFont="1"/>
    <xf numFmtId="0" fontId="10" fillId="0" borderId="0" xfId="0" applyFont="1"/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>
      <alignment vertical="center"/>
    </xf>
    <xf numFmtId="6" fontId="25" fillId="0" borderId="13" xfId="0" applyNumberFormat="1" applyFont="1" applyBorder="1" applyAlignment="1">
      <alignment horizontal="center"/>
    </xf>
    <xf numFmtId="6" fontId="9" fillId="0" borderId="0" xfId="0" applyNumberFormat="1" applyFont="1" applyAlignment="1">
      <alignment vertical="center"/>
    </xf>
    <xf numFmtId="0" fontId="10" fillId="0" borderId="14" xfId="0" applyFont="1" applyBorder="1" applyProtection="1">
      <protection locked="0"/>
    </xf>
    <xf numFmtId="6" fontId="25" fillId="0" borderId="15" xfId="0" applyNumberFormat="1" applyFont="1" applyBorder="1" applyAlignment="1">
      <alignment horizontal="center"/>
    </xf>
    <xf numFmtId="6" fontId="25" fillId="0" borderId="16" xfId="0" applyNumberFormat="1" applyFont="1" applyBorder="1" applyAlignment="1">
      <alignment horizontal="center"/>
    </xf>
    <xf numFmtId="9" fontId="7" fillId="0" borderId="0" xfId="171" applyFont="1" applyProtection="1">
      <protection locked="0"/>
    </xf>
    <xf numFmtId="6" fontId="28" fillId="0" borderId="0" xfId="0" applyNumberFormat="1" applyFont="1" applyProtection="1">
      <protection locked="0"/>
    </xf>
    <xf numFmtId="0" fontId="33" fillId="0" borderId="0" xfId="0" applyFont="1" applyAlignment="1" applyProtection="1">
      <alignment horizontal="left" vertical="center"/>
      <protection locked="0"/>
    </xf>
    <xf numFmtId="6" fontId="16" fillId="0" borderId="0" xfId="0" applyNumberFormat="1" applyFont="1" applyProtection="1">
      <protection locked="0"/>
    </xf>
    <xf numFmtId="6" fontId="25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Normal" xfId="0" builtinId="0"/>
    <cellStyle name="Normal 2" xfId="172" xr:uid="{73FDD5BB-3753-48D7-AC4D-C035484EDA84}"/>
    <cellStyle name="Percent" xfId="17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'5-Yr Data'!$A$8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'5-Yr Data'!$B$4:$G$4</c:f>
              <c:numCache>
                <c:formatCode>m/d/yy</c:formatCode>
                <c:ptCount val="6"/>
                <c:pt idx="0">
                  <c:v>44469</c:v>
                </c:pt>
                <c:pt idx="1">
                  <c:v>44834</c:v>
                </c:pt>
                <c:pt idx="2">
                  <c:v>45199</c:v>
                </c:pt>
                <c:pt idx="3">
                  <c:v>45564</c:v>
                </c:pt>
                <c:pt idx="4">
                  <c:v>45929</c:v>
                </c:pt>
                <c:pt idx="5">
                  <c:v>46294</c:v>
                </c:pt>
              </c:numCache>
            </c:numRef>
          </c:xVal>
          <c:yVal>
            <c:numRef>
              <c:f>'5-Yr Data'!$B$8:$G$8</c:f>
              <c:numCache>
                <c:formatCode>"$"#,##0_);[Red]\("$"#,##0\)</c:formatCode>
                <c:ptCount val="6"/>
                <c:pt idx="0">
                  <c:v>60118</c:v>
                </c:pt>
                <c:pt idx="1">
                  <c:v>67970</c:v>
                </c:pt>
                <c:pt idx="2">
                  <c:v>67717.16</c:v>
                </c:pt>
                <c:pt idx="3">
                  <c:v>67717.16</c:v>
                </c:pt>
                <c:pt idx="4">
                  <c:v>92222</c:v>
                </c:pt>
                <c:pt idx="5">
                  <c:v>92222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5-4F2C-9332-3AD85BE410BC}"/>
            </c:ext>
          </c:extLst>
        </c:ser>
        <c:ser>
          <c:idx val="7"/>
          <c:order val="1"/>
          <c:tx>
            <c:strRef>
              <c:f>'5-Yr Data'!$A$38</c:f>
              <c:strCache>
                <c:ptCount val="1"/>
                <c:pt idx="0">
                  <c:v>Total Expense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'5-Yr Data'!$B$4:$G$4</c:f>
              <c:numCache>
                <c:formatCode>m/d/yy</c:formatCode>
                <c:ptCount val="6"/>
                <c:pt idx="0">
                  <c:v>44469</c:v>
                </c:pt>
                <c:pt idx="1">
                  <c:v>44834</c:v>
                </c:pt>
                <c:pt idx="2">
                  <c:v>45199</c:v>
                </c:pt>
                <c:pt idx="3">
                  <c:v>45564</c:v>
                </c:pt>
                <c:pt idx="4">
                  <c:v>45929</c:v>
                </c:pt>
                <c:pt idx="5">
                  <c:v>46294</c:v>
                </c:pt>
              </c:numCache>
            </c:numRef>
          </c:xVal>
          <c:yVal>
            <c:numRef>
              <c:f>'5-Yr Data'!$B$38:$G$38</c:f>
              <c:numCache>
                <c:formatCode>"$"#,##0_);[Red]\("$"#,##0\)</c:formatCode>
                <c:ptCount val="6"/>
                <c:pt idx="0">
                  <c:v>41519</c:v>
                </c:pt>
                <c:pt idx="1">
                  <c:v>62898</c:v>
                </c:pt>
                <c:pt idx="3">
                  <c:v>82131.86</c:v>
                </c:pt>
                <c:pt idx="4">
                  <c:v>99858</c:v>
                </c:pt>
                <c:pt idx="5">
                  <c:v>107916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5-4F2C-9332-3AD85BE410BC}"/>
            </c:ext>
          </c:extLst>
        </c:ser>
        <c:ser>
          <c:idx val="5"/>
          <c:order val="2"/>
          <c:tx>
            <c:strRef>
              <c:f>'5-Yr Data'!$A$29</c:f>
              <c:strCache>
                <c:ptCount val="1"/>
                <c:pt idx="0">
                  <c:v>Total Ordinary Expenses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'5-Yr Data'!$B$4:$G$4</c:f>
              <c:numCache>
                <c:formatCode>m/d/yy</c:formatCode>
                <c:ptCount val="6"/>
                <c:pt idx="0">
                  <c:v>44469</c:v>
                </c:pt>
                <c:pt idx="1">
                  <c:v>44834</c:v>
                </c:pt>
                <c:pt idx="2">
                  <c:v>45199</c:v>
                </c:pt>
                <c:pt idx="3">
                  <c:v>45564</c:v>
                </c:pt>
                <c:pt idx="4">
                  <c:v>45929</c:v>
                </c:pt>
                <c:pt idx="5">
                  <c:v>46294</c:v>
                </c:pt>
              </c:numCache>
            </c:numRef>
          </c:xVal>
          <c:yVal>
            <c:numRef>
              <c:f>'5-Yr Data'!$B$29:$G$29</c:f>
              <c:numCache>
                <c:formatCode>"$"#,##0_);[Red]\("$"#,##0\)</c:formatCode>
                <c:ptCount val="6"/>
                <c:pt idx="0">
                  <c:v>56250</c:v>
                </c:pt>
                <c:pt idx="1">
                  <c:v>54573</c:v>
                </c:pt>
                <c:pt idx="3">
                  <c:v>70509.86</c:v>
                </c:pt>
                <c:pt idx="4">
                  <c:v>88236</c:v>
                </c:pt>
                <c:pt idx="5">
                  <c:v>96294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5-4F2C-9332-3AD85BE410BC}"/>
            </c:ext>
          </c:extLst>
        </c:ser>
        <c:ser>
          <c:idx val="4"/>
          <c:order val="3"/>
          <c:tx>
            <c:strRef>
              <c:f>'5-Yr Data'!$A$18</c:f>
              <c:strCache>
                <c:ptCount val="1"/>
                <c:pt idx="0">
                  <c:v>Insurance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'5-Yr Data'!$B$4:$G$4</c:f>
              <c:numCache>
                <c:formatCode>m/d/yy</c:formatCode>
                <c:ptCount val="6"/>
                <c:pt idx="0">
                  <c:v>44469</c:v>
                </c:pt>
                <c:pt idx="1">
                  <c:v>44834</c:v>
                </c:pt>
                <c:pt idx="2">
                  <c:v>45199</c:v>
                </c:pt>
                <c:pt idx="3">
                  <c:v>45564</c:v>
                </c:pt>
                <c:pt idx="4">
                  <c:v>45929</c:v>
                </c:pt>
                <c:pt idx="5">
                  <c:v>46294</c:v>
                </c:pt>
              </c:numCache>
            </c:numRef>
          </c:xVal>
          <c:yVal>
            <c:numRef>
              <c:f>'5-Yr Data'!$B$18:$G$18</c:f>
              <c:numCache>
                <c:formatCode>"$"#,##0_);[Red]\("$"#,##0\)</c:formatCode>
                <c:ptCount val="6"/>
                <c:pt idx="0">
                  <c:v>16868</c:v>
                </c:pt>
                <c:pt idx="1">
                  <c:v>15411</c:v>
                </c:pt>
                <c:pt idx="3">
                  <c:v>24509.49</c:v>
                </c:pt>
                <c:pt idx="4">
                  <c:v>34358</c:v>
                </c:pt>
                <c:pt idx="5">
                  <c:v>36576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5-4F2C-9332-3AD85BE410BC}"/>
            </c:ext>
          </c:extLst>
        </c:ser>
        <c:ser>
          <c:idx val="1"/>
          <c:order val="4"/>
          <c:tx>
            <c:strRef>
              <c:f>'5-Yr Data'!$A$13</c:f>
              <c:strCache>
                <c:ptCount val="1"/>
                <c:pt idx="0">
                  <c:v>Property Management Subtotal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'5-Yr Data'!$B$4:$G$4</c:f>
              <c:numCache>
                <c:formatCode>m/d/yy</c:formatCode>
                <c:ptCount val="6"/>
                <c:pt idx="0">
                  <c:v>44469</c:v>
                </c:pt>
                <c:pt idx="1">
                  <c:v>44834</c:v>
                </c:pt>
                <c:pt idx="2">
                  <c:v>45199</c:v>
                </c:pt>
                <c:pt idx="3">
                  <c:v>45564</c:v>
                </c:pt>
                <c:pt idx="4">
                  <c:v>45929</c:v>
                </c:pt>
                <c:pt idx="5">
                  <c:v>46294</c:v>
                </c:pt>
              </c:numCache>
            </c:numRef>
          </c:xVal>
          <c:yVal>
            <c:numRef>
              <c:f>'5-Yr Data'!$B$13:$G$13</c:f>
              <c:numCache>
                <c:formatCode>"$"#,##0_);[Red]\("$"#,##0\)</c:formatCode>
                <c:ptCount val="6"/>
                <c:pt idx="0">
                  <c:v>15143</c:v>
                </c:pt>
                <c:pt idx="1">
                  <c:v>15600</c:v>
                </c:pt>
                <c:pt idx="3">
                  <c:v>15600</c:v>
                </c:pt>
                <c:pt idx="4">
                  <c:v>17800</c:v>
                </c:pt>
                <c:pt idx="5">
                  <c:v>18000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5-4F2C-9332-3AD85BE410BC}"/>
            </c:ext>
          </c:extLst>
        </c:ser>
        <c:ser>
          <c:idx val="6"/>
          <c:order val="5"/>
          <c:tx>
            <c:strRef>
              <c:f>'5-Yr Data'!$A$37</c:f>
              <c:strCache>
                <c:ptCount val="1"/>
                <c:pt idx="0">
                  <c:v>Extraordinary Expense Subtotal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'5-Yr Data'!$B$4:$G$4</c:f>
              <c:numCache>
                <c:formatCode>m/d/yy</c:formatCode>
                <c:ptCount val="6"/>
                <c:pt idx="0">
                  <c:v>44469</c:v>
                </c:pt>
                <c:pt idx="1">
                  <c:v>44834</c:v>
                </c:pt>
                <c:pt idx="2">
                  <c:v>45199</c:v>
                </c:pt>
                <c:pt idx="3">
                  <c:v>45564</c:v>
                </c:pt>
                <c:pt idx="4">
                  <c:v>45929</c:v>
                </c:pt>
                <c:pt idx="5">
                  <c:v>46294</c:v>
                </c:pt>
              </c:numCache>
            </c:numRef>
          </c:xVal>
          <c:yVal>
            <c:numRef>
              <c:f>'5-Yr Data'!$B$37:$G$37</c:f>
              <c:numCache>
                <c:formatCode>"$"#,##0_);[Red]\("$"#,##0\)</c:formatCode>
                <c:ptCount val="6"/>
                <c:pt idx="0">
                  <c:v>-14731</c:v>
                </c:pt>
                <c:pt idx="1">
                  <c:v>8325</c:v>
                </c:pt>
                <c:pt idx="3">
                  <c:v>11622</c:v>
                </c:pt>
                <c:pt idx="4">
                  <c:v>11622</c:v>
                </c:pt>
                <c:pt idx="5">
                  <c:v>11622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5-4F2C-9332-3AD85BE410BC}"/>
            </c:ext>
          </c:extLst>
        </c:ser>
        <c:ser>
          <c:idx val="2"/>
          <c:order val="6"/>
          <c:tx>
            <c:strRef>
              <c:f>'5-Yr Data'!$A$21</c:f>
              <c:strCache>
                <c:ptCount val="1"/>
                <c:pt idx="0">
                  <c:v>Accounting Subtotal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'5-Yr Data'!$B$4:$G$4</c:f>
              <c:numCache>
                <c:formatCode>m/d/yy</c:formatCode>
                <c:ptCount val="6"/>
                <c:pt idx="0">
                  <c:v>44469</c:v>
                </c:pt>
                <c:pt idx="1">
                  <c:v>44834</c:v>
                </c:pt>
                <c:pt idx="2">
                  <c:v>45199</c:v>
                </c:pt>
                <c:pt idx="3">
                  <c:v>45564</c:v>
                </c:pt>
                <c:pt idx="4">
                  <c:v>45929</c:v>
                </c:pt>
                <c:pt idx="5">
                  <c:v>46294</c:v>
                </c:pt>
              </c:numCache>
            </c:numRef>
          </c:xVal>
          <c:yVal>
            <c:numRef>
              <c:f>'5-Yr Data'!$B$21:$G$21</c:f>
              <c:numCache>
                <c:formatCode>"$"#,##0_);[Red]\("$"#,##0\)</c:formatCode>
                <c:ptCount val="6"/>
                <c:pt idx="0">
                  <c:v>4874</c:v>
                </c:pt>
                <c:pt idx="1">
                  <c:v>5350</c:v>
                </c:pt>
                <c:pt idx="3">
                  <c:v>5937</c:v>
                </c:pt>
                <c:pt idx="4">
                  <c:v>6043</c:v>
                </c:pt>
                <c:pt idx="5">
                  <c:v>6108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5-4F2C-9332-3AD85BE410BC}"/>
            </c:ext>
          </c:extLst>
        </c:ser>
        <c:ser>
          <c:idx val="3"/>
          <c:order val="7"/>
          <c:tx>
            <c:strRef>
              <c:f>'5-Yr Data'!$A$26</c:f>
              <c:strCache>
                <c:ptCount val="1"/>
                <c:pt idx="0">
                  <c:v>Utitlities Subtotal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'5-Yr Data'!$B$4:$G$4</c:f>
              <c:numCache>
                <c:formatCode>m/d/yy</c:formatCode>
                <c:ptCount val="6"/>
                <c:pt idx="0">
                  <c:v>44469</c:v>
                </c:pt>
                <c:pt idx="1">
                  <c:v>44834</c:v>
                </c:pt>
                <c:pt idx="2">
                  <c:v>45199</c:v>
                </c:pt>
                <c:pt idx="3">
                  <c:v>45564</c:v>
                </c:pt>
                <c:pt idx="4">
                  <c:v>45929</c:v>
                </c:pt>
                <c:pt idx="5">
                  <c:v>46294</c:v>
                </c:pt>
              </c:numCache>
            </c:numRef>
          </c:xVal>
          <c:yVal>
            <c:numRef>
              <c:f>'5-Yr Data'!$B$25:$G$25</c:f>
              <c:numCache>
                <c:formatCode>"$"#,##0_);[Red]\("$"#,##0\)</c:formatCode>
                <c:ptCount val="6"/>
                <c:pt idx="0">
                  <c:v>1124</c:v>
                </c:pt>
                <c:pt idx="1">
                  <c:v>1702</c:v>
                </c:pt>
                <c:pt idx="3">
                  <c:v>2122.7199999999998</c:v>
                </c:pt>
                <c:pt idx="4">
                  <c:v>2374</c:v>
                </c:pt>
                <c:pt idx="5">
                  <c:v>2532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5-4F2C-9332-3AD85BE41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179279"/>
        <c:axId val="1260307663"/>
      </c:scatterChart>
      <c:valAx>
        <c:axId val="125917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07663"/>
        <c:crosses val="autoZero"/>
        <c:crossBetween val="midCat"/>
      </c:valAx>
      <c:valAx>
        <c:axId val="126030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179279"/>
        <c:crosses val="autoZero"/>
        <c:crossBetween val="midCat"/>
        <c:majorUnit val="1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328083</xdr:colOff>
      <xdr:row>39</xdr:row>
      <xdr:rowOff>153738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40719-DF89-4FE0-90FF-4761ED8F9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0.11091</cdr:x>
      <cdr:y>0.11473</cdr:y>
    </cdr:from>
    <cdr:to>
      <cdr:x>0.27016</cdr:x>
      <cdr:y>0.24126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834B53-F6B3-08D9-55B2-3106FE9FA5D4}"/>
            </a:ext>
          </a:extLst>
        </cdr:cNvPr>
        <cdr:cNvSpPr txBox="1"/>
      </cdr:nvSpPr>
      <cdr:spPr>
        <a:xfrm xmlns:a="http://schemas.openxmlformats.org/drawingml/2006/main">
          <a:off x="1317542" y="743086"/>
          <a:ext cx="1891861" cy="8195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kern="1200"/>
            <a:t>2022 </a:t>
          </a:r>
        </a:p>
        <a:p xmlns:a="http://schemas.openxmlformats.org/drawingml/2006/main">
          <a:pPr algn="ctr"/>
          <a:r>
            <a:rPr lang="en-US" sz="1400" kern="1200"/>
            <a:t>$7,402  (15% ) </a:t>
          </a:r>
        </a:p>
        <a:p xmlns:a="http://schemas.openxmlformats.org/drawingml/2006/main">
          <a:pPr algn="ctr"/>
          <a:r>
            <a:rPr lang="en-US" sz="1400" kern="1200"/>
            <a:t>Fee Increase</a:t>
          </a:r>
        </a:p>
      </cdr:txBody>
    </cdr:sp>
  </cdr:relSizeAnchor>
  <cdr:relSizeAnchor xmlns:cdr="http://schemas.openxmlformats.org/drawingml/2006/chartDrawing">
    <cdr:from>
      <cdr:x>0.19053</cdr:x>
      <cdr:y>0.24126</cdr:y>
    </cdr:from>
    <cdr:to>
      <cdr:x>0.24565</cdr:x>
      <cdr:y>0.37549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D4AA8794-91D7-26C1-671E-D02254826099}"/>
            </a:ext>
          </a:extLst>
        </cdr:cNvPr>
        <cdr:cNvCxnSpPr>
          <a:stCxn xmlns:a="http://schemas.openxmlformats.org/drawingml/2006/main" id="2" idx="2"/>
        </cdr:cNvCxnSpPr>
      </cdr:nvCxnSpPr>
      <cdr:spPr>
        <a:xfrm xmlns:a="http://schemas.openxmlformats.org/drawingml/2006/main">
          <a:off x="2263473" y="1562586"/>
          <a:ext cx="654825" cy="86932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0.35688</cdr:x>
      <cdr:y>0.06162</cdr:y>
    </cdr:from>
    <cdr:to>
      <cdr:x>0.51613</cdr:x>
      <cdr:y>0.16897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859905C7-ADA9-DD3F-8DDC-C8DFDD6AC4AD}"/>
            </a:ext>
          </a:extLst>
        </cdr:cNvPr>
        <cdr:cNvSpPr txBox="1"/>
      </cdr:nvSpPr>
      <cdr:spPr>
        <a:xfrm xmlns:a="http://schemas.openxmlformats.org/drawingml/2006/main">
          <a:off x="4239569" y="399096"/>
          <a:ext cx="1891861" cy="69526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kern="1200"/>
            <a:t>2025 </a:t>
          </a:r>
        </a:p>
        <a:p xmlns:a="http://schemas.openxmlformats.org/drawingml/2006/main">
          <a:pPr algn="ctr"/>
          <a:r>
            <a:rPr lang="en-US" sz="1400" kern="1200">
              <a:latin typeface="+mn-lt"/>
              <a:ea typeface="+mn-ea"/>
              <a:cs typeface="+mn-cs"/>
            </a:rPr>
            <a:t>24,505</a:t>
          </a:r>
          <a:r>
            <a:rPr lang="en-US" sz="1400" kern="1200"/>
            <a:t>  (36% ) </a:t>
          </a:r>
        </a:p>
        <a:p xmlns:a="http://schemas.openxmlformats.org/drawingml/2006/main">
          <a:pPr algn="ctr"/>
          <a:r>
            <a:rPr lang="en-US" sz="1400" kern="1200"/>
            <a:t>Fee Increase</a:t>
          </a:r>
        </a:p>
      </cdr:txBody>
    </cdr:sp>
  </cdr:relSizeAnchor>
  <cdr:relSizeAnchor xmlns:cdr="http://schemas.openxmlformats.org/drawingml/2006/chartDrawing">
    <cdr:from>
      <cdr:x>0.51613</cdr:x>
      <cdr:y>0.11529</cdr:y>
    </cdr:from>
    <cdr:to>
      <cdr:x>0.5641</cdr:x>
      <cdr:y>0.24824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0397B4C4-3741-2168-96B3-5213670AAD74}"/>
            </a:ext>
          </a:extLst>
        </cdr:cNvPr>
        <cdr:cNvCxnSpPr>
          <a:stCxn xmlns:a="http://schemas.openxmlformats.org/drawingml/2006/main" id="13" idx="3"/>
        </cdr:cNvCxnSpPr>
      </cdr:nvCxnSpPr>
      <cdr:spPr>
        <a:xfrm xmlns:a="http://schemas.openxmlformats.org/drawingml/2006/main">
          <a:off x="6131430" y="746729"/>
          <a:ext cx="569847" cy="86103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0.84928</cdr:x>
      <cdr:y>0.0777</cdr:y>
    </cdr:from>
    <cdr:to>
      <cdr:x>0.95835</cdr:x>
      <cdr:y>0.18944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7AB095B7-4108-7D78-2C28-AB3B950439F9}"/>
            </a:ext>
          </a:extLst>
        </cdr:cNvPr>
        <cdr:cNvSpPr txBox="1"/>
      </cdr:nvSpPr>
      <cdr:spPr>
        <a:xfrm xmlns:a="http://schemas.openxmlformats.org/drawingml/2006/main">
          <a:off x="10159241" y="493030"/>
          <a:ext cx="1304777" cy="708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kern="1200"/>
            <a:t>2027 Proposed  </a:t>
          </a:r>
        </a:p>
        <a:p xmlns:a="http://schemas.openxmlformats.org/drawingml/2006/main">
          <a:pPr algn="ctr"/>
          <a:r>
            <a:rPr lang="en-US" sz="1400" kern="1200"/>
            <a:t>$9,222  (10% ) </a:t>
          </a:r>
        </a:p>
        <a:p xmlns:a="http://schemas.openxmlformats.org/drawingml/2006/main">
          <a:pPr algn="ctr"/>
          <a:r>
            <a:rPr lang="en-US" sz="1400" kern="1200"/>
            <a:t>Fee Increase</a:t>
          </a:r>
        </a:p>
      </cdr:txBody>
    </cdr:sp>
  </cdr:relSizeAnchor>
  <cdr:relSizeAnchor xmlns:cdr="http://schemas.openxmlformats.org/drawingml/2006/chartDrawing">
    <cdr:from>
      <cdr:x>0.81464</cdr:x>
      <cdr:y>0.12843</cdr:y>
    </cdr:from>
    <cdr:to>
      <cdr:x>0.84856</cdr:x>
      <cdr:y>0.12952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CAC236C9-63B0-BA69-53B1-D4406A2A7F3A}"/>
            </a:ext>
          </a:extLst>
        </cdr:cNvPr>
        <cdr:cNvCxnSpPr/>
      </cdr:nvCxnSpPr>
      <cdr:spPr>
        <a:xfrm xmlns:a="http://schemas.openxmlformats.org/drawingml/2006/main" flipH="1" flipV="1">
          <a:off x="9659056" y="832556"/>
          <a:ext cx="402166" cy="705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0.80091</cdr:x>
      <cdr:y>0.12038</cdr:y>
    </cdr:from>
    <cdr:to>
      <cdr:x>0.81134</cdr:x>
      <cdr:y>0.13825</cdr:y>
    </cdr:to>
    <cdr:sp macro="" textlink="">
      <cdr:nvSpPr>
        <cdr:cNvPr id="18" name="Oval 17">
          <a:extLst xmlns:a="http://schemas.openxmlformats.org/drawingml/2006/main">
            <a:ext uri="{FF2B5EF4-FFF2-40B4-BE49-F238E27FC236}">
              <a16:creationId xmlns:a16="http://schemas.microsoft.com/office/drawing/2014/main" id="{F0FC6664-6573-B722-AF73-CF3A3BFEB3AE}"/>
            </a:ext>
          </a:extLst>
        </cdr:cNvPr>
        <cdr:cNvSpPr/>
      </cdr:nvSpPr>
      <cdr:spPr>
        <a:xfrm xmlns:a="http://schemas.openxmlformats.org/drawingml/2006/main">
          <a:off x="9496263" y="780384"/>
          <a:ext cx="123634" cy="11585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3">
          <a:schemeClr val="accent1"/>
        </a:fillRef>
        <a:effectRef xmlns:a="http://schemas.openxmlformats.org/drawingml/2006/main" idx="2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0.7047</cdr:x>
      <cdr:y>0.13564</cdr:y>
    </cdr:from>
    <cdr:to>
      <cdr:x>0.80244</cdr:x>
      <cdr:y>0.19876</cdr:y>
    </cdr:to>
    <cdr:cxnSp macro="">
      <cdr:nvCxnSpPr>
        <cdr:cNvPr id="22" name="Straight Connector 21">
          <a:extLst xmlns:a="http://schemas.openxmlformats.org/drawingml/2006/main">
            <a:ext uri="{FF2B5EF4-FFF2-40B4-BE49-F238E27FC236}">
              <a16:creationId xmlns:a16="http://schemas.microsoft.com/office/drawing/2014/main" id="{F86EEF40-6B0E-98DA-93A8-A795F69B7958}"/>
            </a:ext>
          </a:extLst>
        </cdr:cNvPr>
        <cdr:cNvCxnSpPr>
          <a:endCxn xmlns:a="http://schemas.openxmlformats.org/drawingml/2006/main" id="18" idx="3"/>
        </cdr:cNvCxnSpPr>
      </cdr:nvCxnSpPr>
      <cdr:spPr>
        <a:xfrm xmlns:a="http://schemas.openxmlformats.org/drawingml/2006/main" flipV="1">
          <a:off x="8416119" y="873142"/>
          <a:ext cx="1167287" cy="406336"/>
        </a:xfrm>
        <a:prstGeom xmlns:a="http://schemas.openxmlformats.org/drawingml/2006/main" prst="line">
          <a:avLst/>
        </a:prstGeom>
        <a:ln xmlns:a="http://schemas.openxmlformats.org/drawingml/2006/main" w="22225"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7"/>
  <sheetViews>
    <sheetView tabSelected="1" topLeftCell="A17" zoomScale="73" zoomScaleNormal="73" zoomScalePageLayoutView="130" workbookViewId="0">
      <selection activeCell="B1" sqref="B1:B1048576"/>
    </sheetView>
  </sheetViews>
  <sheetFormatPr baseColWidth="10" defaultColWidth="11.5" defaultRowHeight="25" x14ac:dyDescent="0.25"/>
  <cols>
    <col min="1" max="1" width="147" style="1" customWidth="1"/>
    <col min="2" max="6" width="31.33203125" style="1" bestFit="1" customWidth="1"/>
    <col min="7" max="7" width="31.33203125" style="5" bestFit="1" customWidth="1"/>
    <col min="8" max="8" width="19.1640625" style="1" bestFit="1" customWidth="1"/>
    <col min="9" max="9" width="19.6640625" customWidth="1"/>
    <col min="10" max="10" width="19.33203125" customWidth="1"/>
  </cols>
  <sheetData>
    <row r="1" spans="1:10" ht="40" x14ac:dyDescent="0.15">
      <c r="A1" s="17" t="s">
        <v>45</v>
      </c>
      <c r="B1" s="17"/>
      <c r="C1" s="6"/>
      <c r="D1" s="6"/>
      <c r="E1" s="6"/>
      <c r="F1" s="6"/>
      <c r="G1" s="21"/>
    </row>
    <row r="2" spans="1:10" ht="28" x14ac:dyDescent="0.35">
      <c r="A2" s="4" t="s">
        <v>9</v>
      </c>
      <c r="B2" s="4"/>
      <c r="C2" s="54"/>
      <c r="D2" s="4"/>
      <c r="E2" s="4"/>
      <c r="F2" s="54"/>
      <c r="G2" s="55"/>
      <c r="H2" s="3"/>
    </row>
    <row r="3" spans="1:10" ht="105" x14ac:dyDescent="0.15">
      <c r="A3" s="56" t="s">
        <v>44</v>
      </c>
      <c r="B3" s="46" t="s">
        <v>26</v>
      </c>
      <c r="C3" s="46" t="s">
        <v>21</v>
      </c>
      <c r="D3" s="46" t="s">
        <v>22</v>
      </c>
      <c r="E3" s="46" t="s">
        <v>23</v>
      </c>
      <c r="F3" s="46" t="s">
        <v>24</v>
      </c>
      <c r="G3" s="46" t="s">
        <v>25</v>
      </c>
      <c r="H3" s="46" t="s">
        <v>30</v>
      </c>
      <c r="I3" s="46" t="s">
        <v>33</v>
      </c>
    </row>
    <row r="4" spans="1:10" ht="33" customHeight="1" x14ac:dyDescent="0.3">
      <c r="A4" s="12" t="s">
        <v>16</v>
      </c>
      <c r="B4" s="47">
        <v>44469</v>
      </c>
      <c r="C4" s="47">
        <f>B4+365</f>
        <v>44834</v>
      </c>
      <c r="D4" s="47">
        <f t="shared" ref="D4:G4" si="0">C4+365</f>
        <v>45199</v>
      </c>
      <c r="E4" s="47">
        <f t="shared" si="0"/>
        <v>45564</v>
      </c>
      <c r="F4" s="47">
        <f t="shared" si="0"/>
        <v>45929</v>
      </c>
      <c r="G4" s="47">
        <f t="shared" si="0"/>
        <v>46294</v>
      </c>
      <c r="H4"/>
    </row>
    <row r="5" spans="1:10" ht="33" customHeight="1" x14ac:dyDescent="0.3">
      <c r="A5" s="18" t="s">
        <v>0</v>
      </c>
      <c r="B5" s="19">
        <v>60114</v>
      </c>
      <c r="C5" s="19">
        <v>67716</v>
      </c>
      <c r="D5" s="19">
        <v>67716</v>
      </c>
      <c r="E5" s="19">
        <v>67716</v>
      </c>
      <c r="F5" s="19">
        <v>92221</v>
      </c>
      <c r="G5" s="19">
        <v>92221</v>
      </c>
      <c r="H5" s="40"/>
      <c r="J5" s="41"/>
    </row>
    <row r="6" spans="1:10" ht="33" customHeight="1" x14ac:dyDescent="0.3">
      <c r="A6" s="18" t="s">
        <v>1</v>
      </c>
      <c r="B6" s="19">
        <v>4</v>
      </c>
      <c r="C6" s="19">
        <v>4</v>
      </c>
      <c r="D6" s="19">
        <v>1.1599999999999999</v>
      </c>
      <c r="E6" s="19">
        <v>1.1599999999999999</v>
      </c>
      <c r="F6" s="19">
        <v>1</v>
      </c>
      <c r="G6" s="19">
        <v>1</v>
      </c>
      <c r="H6"/>
    </row>
    <row r="7" spans="1:10" ht="33" customHeight="1" x14ac:dyDescent="0.3">
      <c r="A7" s="18" t="s">
        <v>8</v>
      </c>
      <c r="B7" s="19">
        <v>0</v>
      </c>
      <c r="C7" s="19">
        <v>250</v>
      </c>
      <c r="D7" s="19">
        <v>0</v>
      </c>
      <c r="E7" s="19">
        <v>0</v>
      </c>
      <c r="F7" s="19">
        <v>0</v>
      </c>
      <c r="G7" s="19">
        <v>0</v>
      </c>
      <c r="H7"/>
    </row>
    <row r="8" spans="1:10" ht="33" customHeight="1" x14ac:dyDescent="0.3">
      <c r="A8" s="22" t="s">
        <v>15</v>
      </c>
      <c r="B8" s="20">
        <f t="shared" ref="B8:G8" si="1">SUM(B5:B7)</f>
        <v>60118</v>
      </c>
      <c r="C8" s="20">
        <f t="shared" si="1"/>
        <v>67970</v>
      </c>
      <c r="D8" s="20">
        <f t="shared" si="1"/>
        <v>67717.16</v>
      </c>
      <c r="E8" s="20">
        <f t="shared" si="1"/>
        <v>67717.16</v>
      </c>
      <c r="F8" s="20">
        <f t="shared" si="1"/>
        <v>92222</v>
      </c>
      <c r="G8" s="20">
        <f t="shared" si="1"/>
        <v>92222</v>
      </c>
      <c r="H8" s="40">
        <f>(G8-B8)/B8</f>
        <v>0.53401643434578661</v>
      </c>
      <c r="I8" s="43">
        <f>G8-B8</f>
        <v>32104</v>
      </c>
    </row>
    <row r="9" spans="1:10" ht="33" customHeight="1" x14ac:dyDescent="0.3">
      <c r="B9" s="19"/>
      <c r="C9" s="19"/>
      <c r="D9" s="19"/>
      <c r="E9" s="19"/>
      <c r="F9" s="19"/>
      <c r="G9" s="19"/>
      <c r="H9"/>
      <c r="I9" s="39"/>
    </row>
    <row r="10" spans="1:10" ht="33" customHeight="1" thickBot="1" x14ac:dyDescent="0.35">
      <c r="A10" s="13" t="s">
        <v>17</v>
      </c>
      <c r="B10" s="26"/>
      <c r="C10" s="26"/>
      <c r="D10" s="26"/>
      <c r="E10" s="26"/>
      <c r="F10" s="26"/>
      <c r="G10" s="26"/>
      <c r="H10"/>
    </row>
    <row r="11" spans="1:10" ht="33" customHeight="1" x14ac:dyDescent="0.3">
      <c r="A11" s="28" t="s">
        <v>7</v>
      </c>
      <c r="B11" s="58">
        <v>15143</v>
      </c>
      <c r="C11" s="58">
        <v>15600</v>
      </c>
      <c r="D11" s="29"/>
      <c r="E11" s="29">
        <v>12000</v>
      </c>
      <c r="F11" s="29">
        <v>14200</v>
      </c>
      <c r="G11" s="30">
        <v>14400</v>
      </c>
      <c r="H11"/>
    </row>
    <row r="12" spans="1:10" ht="33" customHeight="1" x14ac:dyDescent="0.3">
      <c r="A12" s="31" t="s">
        <v>10</v>
      </c>
      <c r="B12" s="59"/>
      <c r="C12" s="59"/>
      <c r="D12" s="19"/>
      <c r="E12" s="19">
        <v>3600</v>
      </c>
      <c r="F12" s="19">
        <v>3600</v>
      </c>
      <c r="G12" s="32">
        <v>3600</v>
      </c>
      <c r="H12"/>
    </row>
    <row r="13" spans="1:10" ht="33" customHeight="1" thickBot="1" x14ac:dyDescent="0.35">
      <c r="A13" s="36" t="s">
        <v>42</v>
      </c>
      <c r="B13" s="33">
        <f t="shared" ref="B13" si="2">SUM(B11:B12)</f>
        <v>15143</v>
      </c>
      <c r="C13" s="33">
        <f t="shared" ref="C13:E13" si="3">SUM(C11:C12)</f>
        <v>15600</v>
      </c>
      <c r="D13" s="34"/>
      <c r="E13" s="33">
        <f t="shared" si="3"/>
        <v>15600</v>
      </c>
      <c r="F13" s="33">
        <f>SUM(F11:F12)</f>
        <v>17800</v>
      </c>
      <c r="G13" s="35">
        <f>SUM(G11:G12)</f>
        <v>18000</v>
      </c>
      <c r="H13" s="40">
        <f>(G13-B13)/B13</f>
        <v>0.18866803143366573</v>
      </c>
      <c r="I13" s="43">
        <f t="shared" ref="I13" si="4">G13-B13</f>
        <v>2857</v>
      </c>
      <c r="J13" s="45"/>
    </row>
    <row r="14" spans="1:10" ht="33" customHeight="1" x14ac:dyDescent="0.3">
      <c r="A14" s="5" t="s">
        <v>11</v>
      </c>
      <c r="B14" s="27">
        <v>2049</v>
      </c>
      <c r="C14" s="27">
        <v>971</v>
      </c>
      <c r="D14" s="27"/>
      <c r="E14" s="27">
        <f>1231.05+1731.12</f>
        <v>2962.17</v>
      </c>
      <c r="F14" s="27">
        <v>6106</v>
      </c>
      <c r="G14" s="27">
        <v>7683</v>
      </c>
      <c r="H14" s="40"/>
      <c r="I14" s="43"/>
    </row>
    <row r="15" spans="1:10" ht="33" customHeight="1" x14ac:dyDescent="0.3">
      <c r="A15" s="5" t="s">
        <v>28</v>
      </c>
      <c r="B15" s="19">
        <v>0</v>
      </c>
      <c r="C15" s="19">
        <v>0</v>
      </c>
      <c r="D15" s="19"/>
      <c r="E15" s="19">
        <v>0</v>
      </c>
      <c r="F15" s="19">
        <v>0</v>
      </c>
      <c r="G15" s="19">
        <v>4275</v>
      </c>
      <c r="H15" s="40"/>
    </row>
    <row r="16" spans="1:10" ht="33" customHeight="1" thickBot="1" x14ac:dyDescent="0.35">
      <c r="A16" s="36" t="s">
        <v>43</v>
      </c>
      <c r="B16" s="20">
        <f>SUM(B14:B15)</f>
        <v>2049</v>
      </c>
      <c r="C16" s="20">
        <f t="shared" ref="C16:G16" si="5">SUM(C14:C15)</f>
        <v>971</v>
      </c>
      <c r="D16" s="20"/>
      <c r="E16" s="20">
        <f t="shared" si="5"/>
        <v>2962.17</v>
      </c>
      <c r="F16" s="20">
        <f t="shared" si="5"/>
        <v>6106</v>
      </c>
      <c r="G16" s="20">
        <f t="shared" si="5"/>
        <v>11958</v>
      </c>
      <c r="H16" s="40">
        <f t="shared" ref="H16" si="6">(G16-B16)/B16</f>
        <v>4.8360175695461205</v>
      </c>
      <c r="I16" s="43">
        <f t="shared" ref="I16" si="7">G16-B16</f>
        <v>9909</v>
      </c>
    </row>
    <row r="17" spans="1:11" ht="33" customHeight="1" thickBot="1" x14ac:dyDescent="0.35">
      <c r="A17" s="5" t="s">
        <v>5</v>
      </c>
      <c r="B17" s="26">
        <v>5895</v>
      </c>
      <c r="C17" s="26">
        <v>5245</v>
      </c>
      <c r="D17" s="26"/>
      <c r="E17" s="26">
        <v>5183</v>
      </c>
      <c r="F17" s="26">
        <v>6105</v>
      </c>
      <c r="G17" s="26">
        <v>5899</v>
      </c>
      <c r="H17" s="40">
        <f t="shared" ref="H17:H18" si="8">(G17-B17)/B17</f>
        <v>6.7854113655640372E-4</v>
      </c>
      <c r="K17" s="44"/>
    </row>
    <row r="18" spans="1:11" ht="33" customHeight="1" thickBot="1" x14ac:dyDescent="0.35">
      <c r="A18" s="51" t="s">
        <v>2</v>
      </c>
      <c r="B18" s="52">
        <v>16868</v>
      </c>
      <c r="C18" s="52">
        <v>15411</v>
      </c>
      <c r="D18" s="52"/>
      <c r="E18" s="52">
        <v>24509.49</v>
      </c>
      <c r="F18" s="52">
        <v>34358</v>
      </c>
      <c r="G18" s="53">
        <v>36576</v>
      </c>
      <c r="H18" s="40">
        <f t="shared" si="8"/>
        <v>1.1683661370642637</v>
      </c>
      <c r="I18" s="43">
        <f>G18-B18</f>
        <v>19708</v>
      </c>
    </row>
    <row r="19" spans="1:11" ht="33" customHeight="1" x14ac:dyDescent="0.3">
      <c r="A19" s="28" t="s">
        <v>12</v>
      </c>
      <c r="B19" s="29">
        <v>4874</v>
      </c>
      <c r="C19" s="29">
        <v>5350</v>
      </c>
      <c r="D19" s="29"/>
      <c r="E19" s="29">
        <v>2262</v>
      </c>
      <c r="F19" s="29">
        <v>2368</v>
      </c>
      <c r="G19" s="30">
        <v>2433</v>
      </c>
      <c r="H19"/>
    </row>
    <row r="20" spans="1:11" ht="33" customHeight="1" x14ac:dyDescent="0.3">
      <c r="A20" s="31" t="s">
        <v>6</v>
      </c>
      <c r="B20" s="19">
        <v>0</v>
      </c>
      <c r="C20" s="19">
        <v>0</v>
      </c>
      <c r="D20" s="19"/>
      <c r="E20" s="19">
        <v>3675</v>
      </c>
      <c r="F20" s="19">
        <v>3675</v>
      </c>
      <c r="G20" s="32">
        <v>3675</v>
      </c>
      <c r="H20"/>
    </row>
    <row r="21" spans="1:11" ht="33" customHeight="1" thickBot="1" x14ac:dyDescent="0.35">
      <c r="A21" s="36" t="s">
        <v>35</v>
      </c>
      <c r="B21" s="33">
        <f t="shared" ref="B21:C21" si="9">SUM(B19:B20)</f>
        <v>4874</v>
      </c>
      <c r="C21" s="33">
        <f t="shared" si="9"/>
        <v>5350</v>
      </c>
      <c r="D21" s="34"/>
      <c r="E21" s="33">
        <f>SUM(E19:E20)</f>
        <v>5937</v>
      </c>
      <c r="F21" s="33">
        <f>SUM(F19:F20)</f>
        <v>6043</v>
      </c>
      <c r="G21" s="35">
        <f>SUM(G19:G20)</f>
        <v>6108</v>
      </c>
      <c r="H21" s="40">
        <f t="shared" ref="H21:H27" si="10">(G21-B21)/B21</f>
        <v>0.2531801395157981</v>
      </c>
      <c r="I21" s="42">
        <f t="shared" ref="I21:I27" si="11">G21-B21</f>
        <v>1234</v>
      </c>
    </row>
    <row r="22" spans="1:11" ht="33" customHeight="1" thickBot="1" x14ac:dyDescent="0.35">
      <c r="A22" s="5" t="s">
        <v>36</v>
      </c>
      <c r="B22" s="49">
        <v>402</v>
      </c>
      <c r="C22" s="49">
        <v>395</v>
      </c>
      <c r="D22" s="49"/>
      <c r="E22" s="49">
        <v>262.02999999999997</v>
      </c>
      <c r="F22" s="49">
        <v>547</v>
      </c>
      <c r="G22" s="49">
        <v>496</v>
      </c>
      <c r="H22" s="40">
        <f t="shared" si="10"/>
        <v>0.23383084577114427</v>
      </c>
      <c r="I22" s="42">
        <f t="shared" si="11"/>
        <v>94</v>
      </c>
    </row>
    <row r="23" spans="1:11" ht="33" customHeight="1" x14ac:dyDescent="0.3">
      <c r="A23" s="28" t="s">
        <v>18</v>
      </c>
      <c r="B23" s="29">
        <v>4159</v>
      </c>
      <c r="C23" s="29">
        <v>2843</v>
      </c>
      <c r="D23" s="29"/>
      <c r="E23" s="29">
        <v>5509.66</v>
      </c>
      <c r="F23" s="29">
        <v>5462</v>
      </c>
      <c r="G23" s="30">
        <v>5229</v>
      </c>
      <c r="H23" s="40">
        <f t="shared" si="10"/>
        <v>0.25727338302476555</v>
      </c>
      <c r="I23" s="42">
        <f t="shared" si="11"/>
        <v>1070</v>
      </c>
      <c r="J23" s="50"/>
    </row>
    <row r="24" spans="1:11" ht="33" customHeight="1" x14ac:dyDescent="0.3">
      <c r="A24" s="31" t="s">
        <v>3</v>
      </c>
      <c r="B24" s="19">
        <v>4135</v>
      </c>
      <c r="C24" s="19">
        <v>4524</v>
      </c>
      <c r="D24" s="19"/>
      <c r="E24" s="19">
        <v>3682.64</v>
      </c>
      <c r="F24" s="19">
        <v>5045</v>
      </c>
      <c r="G24" s="32">
        <v>5296</v>
      </c>
      <c r="H24" s="40">
        <f t="shared" si="10"/>
        <v>0.28077388149939542</v>
      </c>
      <c r="I24" s="42">
        <f t="shared" si="11"/>
        <v>1161</v>
      </c>
      <c r="J24" s="48"/>
    </row>
    <row r="25" spans="1:11" ht="33" customHeight="1" x14ac:dyDescent="0.3">
      <c r="A25" s="31" t="s">
        <v>19</v>
      </c>
      <c r="B25" s="19">
        <v>1124</v>
      </c>
      <c r="C25" s="19">
        <v>1702</v>
      </c>
      <c r="D25" s="19"/>
      <c r="E25" s="19">
        <v>2122.7199999999998</v>
      </c>
      <c r="F25" s="19">
        <v>2374</v>
      </c>
      <c r="G25" s="32">
        <v>2532</v>
      </c>
      <c r="H25" s="40">
        <f t="shared" si="10"/>
        <v>1.2526690391459074</v>
      </c>
      <c r="I25" s="42">
        <f t="shared" si="11"/>
        <v>1408</v>
      </c>
      <c r="J25" s="48"/>
    </row>
    <row r="26" spans="1:11" ht="33" customHeight="1" thickBot="1" x14ac:dyDescent="0.35">
      <c r="A26" s="36" t="s">
        <v>37</v>
      </c>
      <c r="B26" s="33">
        <f>SUM(B23:B25)</f>
        <v>9418</v>
      </c>
      <c r="C26" s="33">
        <f t="shared" ref="C26:G26" si="12">SUM(C23:C25)</f>
        <v>9069</v>
      </c>
      <c r="D26" s="33"/>
      <c r="E26" s="33">
        <f t="shared" si="12"/>
        <v>11315.019999999999</v>
      </c>
      <c r="F26" s="33">
        <f t="shared" si="12"/>
        <v>12881</v>
      </c>
      <c r="G26" s="35">
        <f t="shared" si="12"/>
        <v>13057</v>
      </c>
      <c r="H26" s="40">
        <f t="shared" ref="H26" si="13">(G26-B26)/B26</f>
        <v>0.38638776810363135</v>
      </c>
      <c r="I26" s="43">
        <f t="shared" ref="I26" si="14">G26-B26</f>
        <v>3639</v>
      </c>
      <c r="J26" s="45" t="s">
        <v>38</v>
      </c>
    </row>
    <row r="27" spans="1:11" ht="33" customHeight="1" x14ac:dyDescent="0.3">
      <c r="A27" s="5" t="s">
        <v>20</v>
      </c>
      <c r="B27" s="27">
        <v>1351</v>
      </c>
      <c r="C27" s="27">
        <v>2532</v>
      </c>
      <c r="D27" s="27"/>
      <c r="E27" s="27">
        <v>4741.1499999999996</v>
      </c>
      <c r="F27" s="27">
        <v>4396</v>
      </c>
      <c r="G27" s="27">
        <v>4200</v>
      </c>
      <c r="H27" s="40">
        <f t="shared" si="10"/>
        <v>2.1088082901554404</v>
      </c>
      <c r="I27" s="43">
        <f t="shared" si="11"/>
        <v>2849</v>
      </c>
      <c r="J27" s="45" t="s">
        <v>34</v>
      </c>
    </row>
    <row r="28" spans="1:11" ht="33" customHeight="1" x14ac:dyDescent="0.3">
      <c r="A28" s="5" t="s">
        <v>8</v>
      </c>
      <c r="B28" s="23">
        <v>250</v>
      </c>
      <c r="C28" s="19">
        <v>0</v>
      </c>
      <c r="D28" s="19"/>
      <c r="E28" s="19">
        <v>0</v>
      </c>
      <c r="F28" s="19">
        <v>0</v>
      </c>
      <c r="G28" s="19">
        <v>0</v>
      </c>
      <c r="H28" s="40"/>
    </row>
    <row r="29" spans="1:11" ht="33" customHeight="1" x14ac:dyDescent="0.35">
      <c r="A29" s="37" t="s">
        <v>40</v>
      </c>
      <c r="B29" s="38">
        <f>SUM(B13,B16,B17,B18,B21,B22,B26,B27,B28)</f>
        <v>56250</v>
      </c>
      <c r="C29" s="38">
        <f>SUM(C13,C16,C17,C18,C21,C22,C26,C27,C28)</f>
        <v>54573</v>
      </c>
      <c r="D29" s="38"/>
      <c r="E29" s="38">
        <f t="shared" ref="E29:G29" si="15">SUM(E13,E16,E17,E18,E21,E22,E26,E27,E28)</f>
        <v>70509.86</v>
      </c>
      <c r="F29" s="38">
        <f t="shared" si="15"/>
        <v>88236</v>
      </c>
      <c r="G29" s="38">
        <f t="shared" si="15"/>
        <v>96294</v>
      </c>
      <c r="H29" s="40">
        <f t="shared" ref="H29" si="16">(G29-B29)/B29</f>
        <v>0.71189333333333338</v>
      </c>
      <c r="I29" s="43">
        <f>G29-B29</f>
        <v>40044</v>
      </c>
    </row>
    <row r="30" spans="1:11" ht="33" customHeight="1" x14ac:dyDescent="0.25">
      <c r="A30" s="14" t="s">
        <v>4</v>
      </c>
      <c r="B30" s="14" t="s">
        <v>4</v>
      </c>
      <c r="C30" s="14" t="s">
        <v>4</v>
      </c>
      <c r="D30" s="14" t="s">
        <v>4</v>
      </c>
      <c r="E30" s="14" t="s">
        <v>4</v>
      </c>
      <c r="F30" s="14" t="s">
        <v>4</v>
      </c>
      <c r="G30" s="14" t="s">
        <v>4</v>
      </c>
      <c r="H30"/>
    </row>
    <row r="31" spans="1:11" ht="33" customHeight="1" x14ac:dyDescent="0.35">
      <c r="A31" s="15" t="s">
        <v>13</v>
      </c>
      <c r="B31" s="19">
        <f t="shared" ref="B31:C31" si="17">SUM(B8-B29)</f>
        <v>3868</v>
      </c>
      <c r="C31" s="19">
        <f t="shared" si="17"/>
        <v>13397</v>
      </c>
      <c r="D31" s="19"/>
      <c r="E31" s="19">
        <f>SUM(E8-E29)</f>
        <v>-2792.6999999999971</v>
      </c>
      <c r="F31" s="19">
        <f>SUM(F8-F29)</f>
        <v>3986</v>
      </c>
      <c r="G31" s="19">
        <f>SUM(G8-G29)</f>
        <v>-4072</v>
      </c>
      <c r="H31"/>
    </row>
    <row r="32" spans="1:11" ht="33" customHeight="1" x14ac:dyDescent="0.3">
      <c r="A32" s="16"/>
      <c r="B32" s="19"/>
      <c r="C32" s="19"/>
      <c r="D32" s="19"/>
      <c r="E32" s="19"/>
      <c r="F32" s="19"/>
      <c r="G32" s="19"/>
      <c r="H32"/>
    </row>
    <row r="33" spans="1:12" ht="33" customHeight="1" x14ac:dyDescent="0.3">
      <c r="A33" s="5" t="s">
        <v>14</v>
      </c>
      <c r="B33" s="19">
        <v>0</v>
      </c>
      <c r="C33" s="19">
        <v>5325</v>
      </c>
      <c r="D33" s="19">
        <v>11622</v>
      </c>
      <c r="E33" s="19">
        <v>11622</v>
      </c>
      <c r="F33" s="19">
        <v>11622</v>
      </c>
      <c r="G33" s="19">
        <v>11622</v>
      </c>
      <c r="H33"/>
    </row>
    <row r="34" spans="1:12" ht="33" customHeight="1" x14ac:dyDescent="0.3">
      <c r="A34" s="5" t="s">
        <v>27</v>
      </c>
      <c r="B34" s="19">
        <v>0</v>
      </c>
      <c r="C34" s="19">
        <v>3000</v>
      </c>
      <c r="D34" s="19">
        <v>0</v>
      </c>
      <c r="E34" s="19">
        <v>0</v>
      </c>
      <c r="F34" s="19">
        <v>0</v>
      </c>
      <c r="G34" s="19">
        <v>0</v>
      </c>
      <c r="H34"/>
    </row>
    <row r="35" spans="1:12" ht="33" customHeight="1" x14ac:dyDescent="0.3">
      <c r="A35" s="5" t="s">
        <v>29</v>
      </c>
      <c r="B35" s="19">
        <v>-9731</v>
      </c>
      <c r="C35" s="19">
        <v>0</v>
      </c>
      <c r="D35" s="19"/>
      <c r="E35" s="19">
        <v>0</v>
      </c>
      <c r="F35" s="19">
        <v>0</v>
      </c>
      <c r="G35" s="19">
        <v>0</v>
      </c>
      <c r="H35"/>
    </row>
    <row r="36" spans="1:12" ht="33" customHeight="1" x14ac:dyDescent="0.3">
      <c r="A36" s="5" t="s">
        <v>31</v>
      </c>
      <c r="B36" s="19">
        <v>-5000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/>
    </row>
    <row r="37" spans="1:12" ht="33" customHeight="1" x14ac:dyDescent="0.3">
      <c r="A37" s="25" t="s">
        <v>39</v>
      </c>
      <c r="B37" s="20">
        <f>SUM(B33:B36)</f>
        <v>-14731</v>
      </c>
      <c r="C37" s="20">
        <f t="shared" ref="C37:G37" si="18">SUM(C33:C36)</f>
        <v>8325</v>
      </c>
      <c r="D37" s="20"/>
      <c r="E37" s="20">
        <f t="shared" si="18"/>
        <v>11622</v>
      </c>
      <c r="F37" s="20">
        <f t="shared" si="18"/>
        <v>11622</v>
      </c>
      <c r="G37" s="20">
        <f t="shared" si="18"/>
        <v>11622</v>
      </c>
      <c r="H37"/>
    </row>
    <row r="38" spans="1:12" ht="33" customHeight="1" x14ac:dyDescent="0.3">
      <c r="A38" s="12" t="s">
        <v>41</v>
      </c>
      <c r="B38" s="20">
        <f>B29+B37</f>
        <v>41519</v>
      </c>
      <c r="C38" s="20">
        <f t="shared" ref="C38:G38" si="19">C29+C37</f>
        <v>62898</v>
      </c>
      <c r="D38" s="20"/>
      <c r="E38" s="20">
        <f t="shared" si="19"/>
        <v>82131.86</v>
      </c>
      <c r="F38" s="20">
        <f t="shared" si="19"/>
        <v>99858</v>
      </c>
      <c r="G38" s="20">
        <f t="shared" si="19"/>
        <v>107916</v>
      </c>
      <c r="H38" s="40">
        <f t="shared" ref="H38" si="20">(G38-B38)/B38</f>
        <v>1.5991955490257472</v>
      </c>
      <c r="I38" s="43">
        <f>G38-B38</f>
        <v>66397</v>
      </c>
    </row>
    <row r="39" spans="1:12" ht="33" customHeight="1" x14ac:dyDescent="0.3">
      <c r="A39" s="24"/>
      <c r="B39" s="20"/>
      <c r="C39" s="20"/>
      <c r="D39" s="20"/>
      <c r="E39" s="20"/>
      <c r="F39" s="20"/>
      <c r="G39" s="20"/>
      <c r="H39"/>
    </row>
    <row r="40" spans="1:12" ht="33" customHeight="1" x14ac:dyDescent="0.3">
      <c r="A40" s="7" t="s">
        <v>32</v>
      </c>
      <c r="B40" s="20">
        <v>33153</v>
      </c>
      <c r="C40" s="20">
        <v>52481</v>
      </c>
      <c r="D40" s="19"/>
      <c r="E40" s="20">
        <v>30539</v>
      </c>
      <c r="F40" s="20">
        <v>18518</v>
      </c>
      <c r="G40" s="20">
        <v>7017</v>
      </c>
      <c r="H40"/>
    </row>
    <row r="41" spans="1:12" ht="33" customHeight="1" x14ac:dyDescent="0.3">
      <c r="E41" s="57"/>
      <c r="F41" s="57"/>
      <c r="G41" s="57"/>
      <c r="I41" s="1"/>
      <c r="J41" s="1"/>
      <c r="K41" s="1"/>
      <c r="L41" s="1"/>
    </row>
    <row r="42" spans="1:12" ht="33" customHeight="1" x14ac:dyDescent="0.3">
      <c r="E42" s="57"/>
      <c r="G42" s="1"/>
      <c r="I42" s="1"/>
      <c r="J42" s="1"/>
      <c r="K42" s="1"/>
      <c r="L42" s="1"/>
    </row>
    <row r="43" spans="1:12" ht="33" customHeight="1" x14ac:dyDescent="0.15">
      <c r="G43" s="1"/>
      <c r="I43" s="1"/>
      <c r="J43" s="1"/>
      <c r="K43" s="1"/>
      <c r="L43" s="1"/>
    </row>
    <row r="44" spans="1:12" ht="33" customHeight="1" x14ac:dyDescent="0.15">
      <c r="G44" s="1"/>
      <c r="I44" s="1"/>
      <c r="J44" s="1"/>
      <c r="K44" s="1"/>
      <c r="L44" s="1"/>
    </row>
    <row r="45" spans="1:12" ht="33" customHeight="1" x14ac:dyDescent="0.15">
      <c r="G45" s="1"/>
      <c r="I45" s="1"/>
      <c r="J45" s="1"/>
      <c r="K45" s="1"/>
      <c r="L45" s="1"/>
    </row>
    <row r="46" spans="1:12" ht="13" x14ac:dyDescent="0.15">
      <c r="G46" s="1"/>
      <c r="I46" s="1"/>
      <c r="J46" s="1"/>
      <c r="K46" s="1"/>
      <c r="L46" s="1"/>
    </row>
    <row r="47" spans="1:12" ht="13" x14ac:dyDescent="0.15">
      <c r="G47" s="1"/>
      <c r="I47" s="1"/>
      <c r="J47" s="1"/>
      <c r="K47" s="1"/>
      <c r="L47" s="1"/>
    </row>
    <row r="48" spans="1:12" ht="13" x14ac:dyDescent="0.15">
      <c r="G48" s="1"/>
      <c r="I48" s="1"/>
      <c r="J48" s="1"/>
      <c r="K48" s="1"/>
      <c r="L48" s="1"/>
    </row>
    <row r="49" spans="1:12" ht="13" x14ac:dyDescent="0.15">
      <c r="G49" s="1"/>
      <c r="I49" s="1"/>
      <c r="J49" s="1"/>
      <c r="K49" s="1"/>
      <c r="L49" s="1"/>
    </row>
    <row r="50" spans="1:12" ht="13" x14ac:dyDescent="0.15">
      <c r="G50" s="1"/>
      <c r="I50" s="1"/>
      <c r="J50" s="1"/>
      <c r="K50" s="1"/>
      <c r="L50" s="1"/>
    </row>
    <row r="51" spans="1:12" ht="13" x14ac:dyDescent="0.15">
      <c r="G51" s="1"/>
      <c r="I51" s="1"/>
      <c r="J51" s="1"/>
      <c r="K51" s="1"/>
      <c r="L51" s="1"/>
    </row>
    <row r="52" spans="1:12" ht="13" x14ac:dyDescent="0.15">
      <c r="G52" s="1"/>
      <c r="I52" s="1"/>
      <c r="J52" s="1"/>
      <c r="K52" s="1"/>
      <c r="L52" s="1"/>
    </row>
    <row r="53" spans="1:12" ht="13" x14ac:dyDescent="0.15">
      <c r="G53" s="1"/>
      <c r="I53" s="1"/>
      <c r="J53" s="1"/>
      <c r="K53" s="1"/>
      <c r="L53" s="1"/>
    </row>
    <row r="54" spans="1:12" ht="13" x14ac:dyDescent="0.15">
      <c r="G54" s="1"/>
      <c r="I54" s="1"/>
      <c r="J54" s="1"/>
      <c r="K54" s="1"/>
      <c r="L54" s="1"/>
    </row>
    <row r="55" spans="1:12" ht="13" x14ac:dyDescent="0.15">
      <c r="G55" s="1"/>
      <c r="I55" s="1"/>
      <c r="J55" s="1"/>
      <c r="K55" s="1"/>
      <c r="L55" s="1"/>
    </row>
    <row r="56" spans="1:12" ht="13" x14ac:dyDescent="0.15">
      <c r="G56" s="1"/>
      <c r="I56" s="1"/>
      <c r="J56" s="1"/>
      <c r="K56" s="1"/>
      <c r="L56" s="1"/>
    </row>
    <row r="57" spans="1:12" ht="13" x14ac:dyDescent="0.15">
      <c r="G57" s="1"/>
      <c r="I57" s="1"/>
      <c r="J57" s="1"/>
      <c r="K57" s="1"/>
      <c r="L57" s="1"/>
    </row>
    <row r="58" spans="1:12" ht="13" x14ac:dyDescent="0.15">
      <c r="G58" s="1"/>
      <c r="I58" s="1"/>
      <c r="J58" s="1"/>
      <c r="K58" s="1"/>
      <c r="L58" s="1"/>
    </row>
    <row r="59" spans="1:12" x14ac:dyDescent="0.25">
      <c r="A59" s="9"/>
      <c r="B59" s="9"/>
      <c r="C59" s="9"/>
      <c r="D59" s="9"/>
      <c r="E59" s="9"/>
      <c r="F59" s="8"/>
    </row>
    <row r="60" spans="1:12" x14ac:dyDescent="0.25">
      <c r="A60" s="8"/>
      <c r="B60" s="8"/>
      <c r="C60" s="8"/>
      <c r="D60" s="8"/>
      <c r="E60" s="8"/>
      <c r="H60" s="2"/>
    </row>
    <row r="61" spans="1:12" x14ac:dyDescent="0.25">
      <c r="A61" s="5"/>
      <c r="B61" s="5"/>
      <c r="C61" s="5"/>
      <c r="D61" s="5"/>
      <c r="E61" s="5"/>
    </row>
    <row r="62" spans="1:12" x14ac:dyDescent="0.25">
      <c r="A62" s="5"/>
      <c r="B62" s="5"/>
      <c r="C62" s="5"/>
      <c r="D62" s="5"/>
      <c r="E62" s="5"/>
      <c r="F62" s="10"/>
      <c r="G62" s="11"/>
    </row>
    <row r="63" spans="1:12" x14ac:dyDescent="0.25">
      <c r="A63" s="11"/>
      <c r="B63" s="11"/>
      <c r="C63" s="11"/>
      <c r="D63" s="11"/>
      <c r="E63" s="11"/>
    </row>
    <row r="67" spans="8:8" x14ac:dyDescent="0.25">
      <c r="H67" s="2"/>
    </row>
  </sheetData>
  <mergeCells count="2">
    <mergeCell ref="B11:B12"/>
    <mergeCell ref="C11:C12"/>
  </mergeCells>
  <phoneticPr fontId="0" type="noConversion"/>
  <pageMargins left="0.47" right="0.47" top="0.25" bottom="0.25" header="0" footer="0"/>
  <pageSetup scale="39" orientation="portrait" horizontalDpi="4294967293" verticalDpi="4294967293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249B-EB07-4CB6-83C8-FBB65BEE17FA}">
  <dimension ref="A1"/>
  <sheetViews>
    <sheetView zoomScale="47" zoomScaleNormal="55" workbookViewId="0">
      <selection activeCell="Z6" sqref="Z6"/>
    </sheetView>
  </sheetViews>
  <sheetFormatPr baseColWidth="10" defaultColWidth="8.83203125" defaultRowHeight="13" x14ac:dyDescent="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5-Yr Data</vt:lpstr>
      <vt:lpstr>5-Yr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Wright</dc:creator>
  <cp:lastModifiedBy>liz tavares</cp:lastModifiedBy>
  <cp:lastPrinted>2025-10-02T23:32:29Z</cp:lastPrinted>
  <dcterms:created xsi:type="dcterms:W3CDTF">2009-09-27T18:58:18Z</dcterms:created>
  <dcterms:modified xsi:type="dcterms:W3CDTF">2026-10-14T20:47:43Z</dcterms:modified>
</cp:coreProperties>
</file>