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405"/>
  <workbookPr autoCompressPictures="0"/>
  <bookViews>
    <workbookView xWindow="0" yWindow="0" windowWidth="25600" windowHeight="1618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6" i="1" l="1"/>
  <c r="D33" i="1"/>
  <c r="D5" i="1"/>
  <c r="F29" i="1"/>
  <c r="F4" i="1"/>
  <c r="E33" i="1"/>
  <c r="E26" i="1"/>
  <c r="E14" i="1"/>
  <c r="F11" i="1"/>
  <c r="F12" i="1"/>
  <c r="F13" i="1"/>
  <c r="B14" i="1"/>
  <c r="D14" i="1"/>
  <c r="F17" i="1"/>
  <c r="F18" i="1"/>
  <c r="F20" i="1"/>
  <c r="F21" i="1"/>
  <c r="F22" i="1"/>
  <c r="F23" i="1"/>
  <c r="F24" i="1"/>
  <c r="F25" i="1"/>
  <c r="B26" i="1"/>
  <c r="F26" i="1"/>
  <c r="F28" i="1"/>
  <c r="F30" i="1"/>
  <c r="F31" i="1"/>
  <c r="F32" i="1"/>
  <c r="B33" i="1"/>
  <c r="B5" i="1"/>
  <c r="B6" i="1"/>
  <c r="F33" i="1"/>
  <c r="D6" i="1"/>
  <c r="F6" i="1"/>
  <c r="F5" i="1"/>
  <c r="F14" i="1"/>
</calcChain>
</file>

<file path=xl/sharedStrings.xml><?xml version="1.0" encoding="utf-8"?>
<sst xmlns="http://schemas.openxmlformats.org/spreadsheetml/2006/main" count="73" uniqueCount="71">
  <si>
    <t>Over/Under</t>
  </si>
  <si>
    <t xml:space="preserve"> Total income</t>
  </si>
  <si>
    <t xml:space="preserve"> Total expenses</t>
  </si>
  <si>
    <t xml:space="preserve"> Income less expenses</t>
  </si>
  <si>
    <t>Income</t>
  </si>
  <si>
    <t>Condo fees</t>
  </si>
  <si>
    <t>Interest</t>
  </si>
  <si>
    <t>Other</t>
  </si>
  <si>
    <t>Total income</t>
  </si>
  <si>
    <t>Fixed Expenses</t>
  </si>
  <si>
    <t>Property Mgt: Trash Pick Up</t>
  </si>
  <si>
    <t>Insurance</t>
  </si>
  <si>
    <t>Accounting:Bookkeeping</t>
  </si>
  <si>
    <t>Utilities: Electric</t>
  </si>
  <si>
    <t>Utilities: Gas</t>
  </si>
  <si>
    <t>Utilities: Water Sampling</t>
  </si>
  <si>
    <t>Total fixed expenses</t>
  </si>
  <si>
    <t>Variable Expenses</t>
  </si>
  <si>
    <t>Total variable expenses</t>
  </si>
  <si>
    <t>Unit 19              12.5%   $1924</t>
  </si>
  <si>
    <t>Unit 16,17         10.7%   $1646</t>
  </si>
  <si>
    <t>(Total Qtly $15,390  /  Total Annually $61,560)</t>
  </si>
  <si>
    <t>a) Pre-approval of all special projects</t>
  </si>
  <si>
    <t>(To be paid: Oct., Jan., April, July)</t>
  </si>
  <si>
    <t xml:space="preserve">Unit   3               9.4%    $1446  </t>
  </si>
  <si>
    <t>Unit   5               8.2%    $1263</t>
  </si>
  <si>
    <t xml:space="preserve">Unit 12               6.9%    $1061   </t>
  </si>
  <si>
    <t xml:space="preserve">Units 6,7,8         6.3%      $970                     </t>
  </si>
  <si>
    <t xml:space="preserve">Units 9,10,11      6.3%     $970                     </t>
  </si>
  <si>
    <t>Property Mgt: inspections, routine maint.</t>
  </si>
  <si>
    <t>Special Projects: proposed</t>
  </si>
  <si>
    <t>&amp; trustees based on priority, cash flow, emergency, necessity, etc</t>
  </si>
  <si>
    <t>Contributions :Truro Rescue, other</t>
  </si>
  <si>
    <t>Miscellaneous : bank charges, postage</t>
  </si>
  <si>
    <r>
      <rPr>
        <b/>
        <sz val="16"/>
        <color indexed="9"/>
        <rFont val="Tempus Sans ITC"/>
      </rPr>
      <t>CORN HILL CONDO ASSOC</t>
    </r>
    <r>
      <rPr>
        <i/>
        <sz val="16"/>
        <color indexed="9"/>
        <rFont val="Tempus Sans ITC"/>
      </rPr>
      <t xml:space="preserve">    Proposed  Budget  </t>
    </r>
    <r>
      <rPr>
        <b/>
        <i/>
        <sz val="14"/>
        <color indexed="9"/>
        <rFont val="Tempus Sans ITC"/>
      </rPr>
      <t xml:space="preserve"> for 10/1/16 thru 9/30/17</t>
    </r>
    <r>
      <rPr>
        <i/>
        <sz val="16"/>
        <color indexed="9"/>
        <rFont val="Tempus Sans ITC"/>
      </rPr>
      <t xml:space="preserve">     &amp;   Review </t>
    </r>
    <r>
      <rPr>
        <i/>
        <sz val="14"/>
        <color indexed="9"/>
        <rFont val="Tempus Sans ITC"/>
      </rPr>
      <t>of 10/1/15 - 9/30/16</t>
    </r>
  </si>
  <si>
    <t>proj. '15-'16</t>
  </si>
  <si>
    <t xml:space="preserve"> actual '15-'16</t>
  </si>
  <si>
    <t xml:space="preserve"> Quarterly Condo Fees '16 - '17</t>
  </si>
  <si>
    <t xml:space="preserve">Notes   </t>
  </si>
  <si>
    <t xml:space="preserve"> Proposing: No raise in Condo fees / Continue the following: </t>
  </si>
  <si>
    <t xml:space="preserve">b) continued timely payments of condo fees  </t>
  </si>
  <si>
    <t>*   Sand Path nourishment                                        500</t>
  </si>
  <si>
    <t>*   Dune grass &amp; other plantings, etc                      1,000</t>
  </si>
  <si>
    <t>To be collected $ 2,075</t>
  </si>
  <si>
    <t>Past fines: not in budget =  $1,875</t>
  </si>
  <si>
    <r>
      <rPr>
        <b/>
        <i/>
        <sz val="10"/>
        <rFont val="Tempus Sans ITC"/>
      </rPr>
      <t>Peter's Mgt</t>
    </r>
    <r>
      <rPr>
        <b/>
        <i/>
        <sz val="8"/>
        <rFont val="Tempus Sans ITC"/>
      </rPr>
      <t>:</t>
    </r>
    <r>
      <rPr>
        <i/>
        <sz val="8"/>
        <rFont val="Tempus Sans ITC"/>
      </rPr>
      <t>Inspections,opening&amp;closing, emerg. calls, routine maint., materials</t>
    </r>
  </si>
  <si>
    <t>Unit 18                3.8%     $584</t>
  </si>
  <si>
    <t>As of 9/30/16 Insurance collected =$12,723  / Expensed paid = $16,819</t>
  </si>
  <si>
    <t>** Not included in budget is #12 Wright Insurance claim ($4,096)</t>
  </si>
  <si>
    <r>
      <t>16 - '17 Proposed Special Projects</t>
    </r>
    <r>
      <rPr>
        <b/>
        <sz val="10"/>
        <rFont val="Tempus Sans ITC"/>
      </rPr>
      <t xml:space="preserve">                </t>
    </r>
    <r>
      <rPr>
        <b/>
        <sz val="9"/>
        <rFont val="Tempus Sans ITC"/>
      </rPr>
      <t xml:space="preserve">                                              </t>
    </r>
  </si>
  <si>
    <t>*   Grill replacements  / trash barrel replacements    500</t>
  </si>
  <si>
    <r>
      <rPr>
        <b/>
        <sz val="8"/>
        <rFont val="Tempus Sans ITC"/>
      </rPr>
      <t>Extra Repairs '15-'16:</t>
    </r>
    <r>
      <rPr>
        <b/>
        <sz val="9"/>
        <rFont val="Tempus Sans ITC"/>
      </rPr>
      <t xml:space="preserve"> </t>
    </r>
    <r>
      <rPr>
        <i/>
        <sz val="8"/>
        <rFont val="Tempus Sans ITC"/>
      </rPr>
      <t>Plumbing $1,900/Septic $5,101/Atlantic well pump repair $1,778</t>
    </r>
  </si>
  <si>
    <t>actual estimate from Seaside</t>
  </si>
  <si>
    <t xml:space="preserve">*All potential Special Projects/Repairs are on approval basis by Lynn </t>
  </si>
  <si>
    <r>
      <t>Total Cash Accts as of: 9/30/16 $55,225 ($38,593 in reserve acct) /</t>
    </r>
    <r>
      <rPr>
        <sz val="8"/>
        <rFont val="Arial"/>
      </rPr>
      <t xml:space="preserve"> past 5 yrs. : 2015  $54,059   2014  $37,504  2013  $32,984   2012 $22,273   2011 =  $16,458                                       </t>
    </r>
  </si>
  <si>
    <t xml:space="preserve"> Oct.  '16 - Sept  '17</t>
  </si>
  <si>
    <t>get other estimates ? /  Use collected fine monies ?/use reserves ?</t>
  </si>
  <si>
    <r>
      <t xml:space="preserve">5% increase over past year                  </t>
    </r>
    <r>
      <rPr>
        <i/>
        <sz val="10"/>
        <rFont val="Tempus Sans ITC"/>
      </rPr>
      <t xml:space="preserve">  increase in utilities across</t>
    </r>
  </si>
  <si>
    <r>
      <t xml:space="preserve">5% increase over past year                  </t>
    </r>
    <r>
      <rPr>
        <i/>
        <sz val="10"/>
        <rFont val="Tempus Sans ITC"/>
      </rPr>
      <t xml:space="preserve"> the board, especially electric.</t>
    </r>
  </si>
  <si>
    <r>
      <t xml:space="preserve">5% increase over past year               </t>
    </r>
    <r>
      <rPr>
        <i/>
        <sz val="10"/>
        <rFont val="Tempus Sans ITC"/>
      </rPr>
      <t>more &amp; longer usage of cottages</t>
    </r>
  </si>
  <si>
    <r>
      <t xml:space="preserve">5% increase over past year                  </t>
    </r>
    <r>
      <rPr>
        <i/>
        <sz val="10"/>
        <rFont val="Tempus Sans ITC"/>
      </rPr>
      <t xml:space="preserve">   &amp; electric rate increases</t>
    </r>
  </si>
  <si>
    <t>*    Storage room shelving                                      1,000</t>
  </si>
  <si>
    <t>*   Timber repairs on driveway                                1,300</t>
  </si>
  <si>
    <t>*  Misc                                                                     1,000</t>
  </si>
  <si>
    <t>Any final loss after recoup of all insurance monies to come from reserves</t>
  </si>
  <si>
    <t>Summary      Updated 10/9/16</t>
  </si>
  <si>
    <t>Pr. Mgt: Extra repairs: elec.,plumbing</t>
  </si>
  <si>
    <t>Pr. Mgt: Septic : cleaning &amp; inspections</t>
  </si>
  <si>
    <t>includes Peters increases...</t>
  </si>
  <si>
    <t xml:space="preserve">    $9,000        (68 steps/railings/8 deck boards)</t>
  </si>
  <si>
    <t xml:space="preserve">* Beach stair safety repairs/ Peters estimate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</si>
</sst>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(&quot;$&quot;#,##0\)"/>
    <numFmt numFmtId="165" formatCode="&quot;$&quot;#,##0.00_);\(&quot;$&quot;#,##0.00\)"/>
  </numFmts>
  <fonts count="56" x14ac:knownFonts="1">
    <font>
      <sz val="10"/>
      <name val="Arial"/>
    </font>
    <font>
      <sz val="10"/>
      <name val="Arial"/>
    </font>
    <font>
      <sz val="9"/>
      <name val="Tahoma"/>
      <family val="2"/>
    </font>
    <font>
      <i/>
      <sz val="9"/>
      <color indexed="10"/>
      <name val="Tahoma"/>
      <family val="2"/>
    </font>
    <font>
      <sz val="24"/>
      <color indexed="9"/>
      <name val="Tempus Sans ITC"/>
    </font>
    <font>
      <sz val="8"/>
      <name val="Tempus Sans ITC"/>
    </font>
    <font>
      <sz val="9"/>
      <color indexed="9"/>
      <name val="Tempus Sans ITC"/>
    </font>
    <font>
      <b/>
      <sz val="8"/>
      <color indexed="9"/>
      <name val="Tempus Sans ITC"/>
    </font>
    <font>
      <b/>
      <sz val="8"/>
      <name val="Tempus Sans ITC"/>
    </font>
    <font>
      <sz val="8"/>
      <name val="Tahoma"/>
      <family val="2"/>
    </font>
    <font>
      <sz val="9"/>
      <color indexed="13"/>
      <name val="Franklin Gothic Demi"/>
    </font>
    <font>
      <sz val="12"/>
      <color indexed="9"/>
      <name val="Tempus Sans ITC"/>
    </font>
    <font>
      <b/>
      <sz val="10"/>
      <color indexed="12"/>
      <name val="Arial"/>
      <family val="2"/>
    </font>
    <font>
      <sz val="10"/>
      <color indexed="11"/>
      <name val="Arial"/>
      <family val="2"/>
    </font>
    <font>
      <b/>
      <i/>
      <sz val="10"/>
      <color indexed="12"/>
      <name val="Tahoma"/>
      <family val="2"/>
    </font>
    <font>
      <sz val="10"/>
      <name val="Arial"/>
    </font>
    <font>
      <b/>
      <u/>
      <sz val="12"/>
      <name val="Britannic Bold"/>
    </font>
    <font>
      <b/>
      <sz val="12"/>
      <name val="Arial"/>
      <family val="2"/>
    </font>
    <font>
      <i/>
      <sz val="16"/>
      <color indexed="9"/>
      <name val="Tempus Sans ITC"/>
    </font>
    <font>
      <b/>
      <sz val="12"/>
      <color indexed="17"/>
      <name val="Tempus Sans ITC"/>
    </font>
    <font>
      <sz val="12"/>
      <name val="Arial"/>
    </font>
    <font>
      <sz val="12"/>
      <name val="Tempus Sans ITC"/>
    </font>
    <font>
      <b/>
      <i/>
      <sz val="12"/>
      <name val="Arial Baltic"/>
    </font>
    <font>
      <sz val="12"/>
      <name val="Franklin Gothic Book"/>
    </font>
    <font>
      <b/>
      <sz val="12"/>
      <name val="Tempus Sans ITC"/>
    </font>
    <font>
      <b/>
      <sz val="12"/>
      <name val="Franklin Gothic Book"/>
    </font>
    <font>
      <b/>
      <i/>
      <sz val="12"/>
      <name val="Arial"/>
      <family val="2"/>
    </font>
    <font>
      <i/>
      <sz val="12"/>
      <color indexed="10"/>
      <name val="Franklin Gothic Demi"/>
    </font>
    <font>
      <i/>
      <sz val="12"/>
      <name val="Arial"/>
      <family val="2"/>
    </font>
    <font>
      <sz val="12"/>
      <name val="Franklin Gothic Demi"/>
    </font>
    <font>
      <b/>
      <sz val="12"/>
      <color indexed="9"/>
      <name val="Tempus Sans ITC"/>
    </font>
    <font>
      <b/>
      <i/>
      <sz val="12"/>
      <name val="Tempus Sans ITC"/>
    </font>
    <font>
      <sz val="12"/>
      <name val="Tahoma"/>
      <family val="2"/>
    </font>
    <font>
      <sz val="12"/>
      <name val="Century Gothic"/>
      <family val="2"/>
    </font>
    <font>
      <sz val="12"/>
      <color indexed="11"/>
      <name val="Franklin Gothic Demi"/>
    </font>
    <font>
      <sz val="12"/>
      <color indexed="11"/>
      <name val="Arial"/>
      <family val="2"/>
    </font>
    <font>
      <sz val="11"/>
      <name val="Tempus Sans ITC"/>
    </font>
    <font>
      <b/>
      <sz val="11"/>
      <color indexed="17"/>
      <name val="Tempus Sans ITC"/>
    </font>
    <font>
      <sz val="11"/>
      <name val="Arial"/>
      <family val="2"/>
    </font>
    <font>
      <i/>
      <sz val="10"/>
      <name val="Tempus Sans ITC"/>
    </font>
    <font>
      <b/>
      <i/>
      <sz val="10"/>
      <name val="Tempus Sans ITC"/>
    </font>
    <font>
      <i/>
      <sz val="9"/>
      <name val="Tempus Sans ITC"/>
    </font>
    <font>
      <b/>
      <sz val="10"/>
      <name val="Tempus Sans ITC"/>
    </font>
    <font>
      <u/>
      <sz val="10"/>
      <color theme="10"/>
      <name val="Arial"/>
    </font>
    <font>
      <u/>
      <sz val="10"/>
      <color theme="11"/>
      <name val="Arial"/>
    </font>
    <font>
      <b/>
      <i/>
      <sz val="10"/>
      <name val="Arial"/>
    </font>
    <font>
      <b/>
      <i/>
      <sz val="14"/>
      <color indexed="9"/>
      <name val="Tempus Sans ITC"/>
    </font>
    <font>
      <b/>
      <sz val="16"/>
      <color indexed="9"/>
      <name val="Tempus Sans ITC"/>
    </font>
    <font>
      <i/>
      <sz val="14"/>
      <color indexed="9"/>
      <name val="Tempus Sans ITC"/>
    </font>
    <font>
      <b/>
      <i/>
      <sz val="8"/>
      <name val="Tempus Sans ITC"/>
    </font>
    <font>
      <i/>
      <sz val="8"/>
      <name val="Tempus Sans ITC"/>
    </font>
    <font>
      <sz val="10"/>
      <name val="Tempus Sans ITC"/>
    </font>
    <font>
      <b/>
      <sz val="9"/>
      <name val="Tempus Sans ITC"/>
    </font>
    <font>
      <b/>
      <i/>
      <sz val="9"/>
      <name val="Arial"/>
    </font>
    <font>
      <sz val="8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9"/>
      </patternFill>
    </fill>
    <fill>
      <patternFill patternType="solid">
        <fgColor indexed="17"/>
        <bgColor indexed="17"/>
      </patternFill>
    </fill>
    <fill>
      <patternFill patternType="gray125">
        <fgColor indexed="11"/>
        <bgColor indexed="9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22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22"/>
      </bottom>
      <diagonal/>
    </border>
  </borders>
  <cellStyleXfs count="21">
    <xf numFmtId="0" fontId="0" fillId="0" borderId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NumberFormat="1" applyFont="1" applyFill="1" applyBorder="1" applyAlignment="1" applyProtection="1">
      <protection locked="0"/>
    </xf>
    <xf numFmtId="3" fontId="1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14" fontId="4" fillId="2" borderId="0" xfId="0" applyNumberFormat="1" applyFont="1" applyFill="1" applyBorder="1" applyAlignment="1" applyProtection="1">
      <alignment horizontal="centerContinuous" vertical="center"/>
      <protection locked="0"/>
    </xf>
    <xf numFmtId="0" fontId="6" fillId="3" borderId="1" xfId="0" applyNumberFormat="1" applyFont="1" applyFill="1" applyBorder="1" applyAlignment="1" applyProtection="1">
      <protection locked="0"/>
    </xf>
    <xf numFmtId="165" fontId="7" fillId="3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NumberFormat="1" applyFont="1" applyFill="1" applyBorder="1" applyAlignment="1" applyProtection="1">
      <protection locked="0"/>
    </xf>
    <xf numFmtId="3" fontId="5" fillId="4" borderId="3" xfId="0" applyNumberFormat="1" applyFont="1" applyFill="1" applyBorder="1" applyAlignment="1" applyProtection="1">
      <alignment horizontal="center" vertical="center"/>
      <protection locked="0"/>
    </xf>
    <xf numFmtId="3" fontId="9" fillId="0" borderId="0" xfId="0" applyNumberFormat="1" applyFont="1" applyFill="1" applyBorder="1" applyAlignment="1" applyProtection="1">
      <alignment horizontal="right"/>
      <protection locked="0"/>
    </xf>
    <xf numFmtId="3" fontId="8" fillId="4" borderId="4" xfId="0" applyNumberFormat="1" applyFont="1" applyFill="1" applyBorder="1" applyAlignment="1" applyProtection="1">
      <alignment horizontal="center"/>
      <protection locked="0"/>
    </xf>
    <xf numFmtId="3" fontId="8" fillId="4" borderId="5" xfId="0" applyNumberFormat="1" applyFont="1" applyFill="1" applyBorder="1" applyAlignment="1" applyProtection="1">
      <alignment horizontal="center"/>
      <protection locked="0"/>
    </xf>
    <xf numFmtId="3" fontId="5" fillId="4" borderId="6" xfId="0" applyNumberFormat="1" applyFont="1" applyFill="1" applyBorder="1" applyAlignment="1" applyProtection="1">
      <alignment horizontal="center"/>
      <protection locked="0"/>
    </xf>
    <xf numFmtId="3" fontId="5" fillId="4" borderId="7" xfId="0" applyNumberFormat="1" applyFont="1" applyFill="1" applyBorder="1" applyAlignment="1" applyProtection="1">
      <alignment horizontal="center"/>
      <protection locked="0"/>
    </xf>
    <xf numFmtId="3" fontId="7" fillId="3" borderId="8" xfId="0" applyNumberFormat="1" applyFont="1" applyFill="1" applyBorder="1" applyAlignment="1" applyProtection="1">
      <alignment horizontal="center"/>
      <protection locked="0"/>
    </xf>
    <xf numFmtId="3" fontId="5" fillId="4" borderId="9" xfId="0" applyNumberFormat="1" applyFont="1" applyFill="1" applyBorder="1" applyAlignment="1" applyProtection="1">
      <alignment horizontal="center"/>
      <protection locked="0"/>
    </xf>
    <xf numFmtId="3" fontId="8" fillId="4" borderId="10" xfId="0" applyNumberFormat="1" applyFont="1" applyFill="1" applyBorder="1" applyAlignment="1" applyProtection="1">
      <alignment horizontal="center"/>
      <protection locked="0"/>
    </xf>
    <xf numFmtId="3" fontId="7" fillId="3" borderId="11" xfId="0" applyNumberFormat="1" applyFont="1" applyFill="1" applyBorder="1" applyAlignment="1" applyProtection="1">
      <alignment horizontal="center"/>
      <protection locked="0"/>
    </xf>
    <xf numFmtId="0" fontId="12" fillId="0" borderId="0" xfId="0" applyNumberFormat="1" applyFont="1" applyFill="1" applyBorder="1" applyAlignment="1" applyProtection="1">
      <alignment horizontal="left"/>
      <protection locked="0"/>
    </xf>
    <xf numFmtId="3" fontId="13" fillId="0" borderId="0" xfId="0" applyNumberFormat="1" applyFont="1" applyFill="1" applyBorder="1" applyAlignment="1" applyProtection="1">
      <protection locked="0"/>
    </xf>
    <xf numFmtId="0" fontId="13" fillId="0" borderId="0" xfId="0" applyNumberFormat="1" applyFont="1" applyFill="1" applyBorder="1" applyAlignment="1" applyProtection="1">
      <protection locked="0"/>
    </xf>
    <xf numFmtId="165" fontId="14" fillId="0" borderId="0" xfId="0" applyNumberFormat="1" applyFont="1" applyFill="1" applyBorder="1" applyAlignment="1" applyProtection="1">
      <alignment horizontal="right"/>
      <protection locked="0"/>
    </xf>
    <xf numFmtId="40" fontId="5" fillId="4" borderId="7" xfId="0" applyNumberFormat="1" applyFont="1" applyFill="1" applyBorder="1" applyAlignment="1" applyProtection="1">
      <alignment horizontal="center"/>
      <protection locked="0"/>
    </xf>
    <xf numFmtId="164" fontId="8" fillId="4" borderId="12" xfId="0" applyNumberFormat="1" applyFont="1" applyFill="1" applyBorder="1" applyAlignment="1" applyProtection="1">
      <alignment horizontal="center"/>
      <protection locked="0"/>
    </xf>
    <xf numFmtId="165" fontId="7" fillId="3" borderId="8" xfId="0" applyNumberFormat="1" applyFont="1" applyFill="1" applyBorder="1" applyAlignment="1" applyProtection="1">
      <alignment horizontal="center"/>
      <protection locked="0"/>
    </xf>
    <xf numFmtId="0" fontId="10" fillId="3" borderId="1" xfId="0" applyNumberFormat="1" applyFont="1" applyFill="1" applyBorder="1" applyAlignment="1" applyProtection="1">
      <alignment horizontal="center"/>
      <protection locked="0"/>
    </xf>
    <xf numFmtId="165" fontId="4" fillId="2" borderId="0" xfId="0" applyNumberFormat="1" applyFont="1" applyFill="1" applyBorder="1" applyAlignment="1" applyProtection="1">
      <alignment horizontal="centerContinuous" vertical="center"/>
      <protection locked="0"/>
    </xf>
    <xf numFmtId="0" fontId="11" fillId="2" borderId="0" xfId="0" applyNumberFormat="1" applyFont="1" applyFill="1" applyBorder="1" applyAlignment="1" applyProtection="1">
      <alignment horizontal="left" vertical="center"/>
      <protection locked="0"/>
    </xf>
    <xf numFmtId="0" fontId="15" fillId="0" borderId="0" xfId="0" applyNumberFormat="1" applyFont="1" applyFill="1" applyBorder="1" applyAlignment="1" applyProtection="1">
      <protection locked="0"/>
    </xf>
    <xf numFmtId="165" fontId="2" fillId="0" borderId="0" xfId="0" applyNumberFormat="1" applyFont="1" applyFill="1" applyBorder="1" applyAlignment="1" applyProtection="1">
      <alignment horizontal="right"/>
      <protection locked="0"/>
    </xf>
    <xf numFmtId="0" fontId="16" fillId="0" borderId="0" xfId="0" applyNumberFormat="1" applyFont="1" applyFill="1" applyBorder="1" applyAlignment="1" applyProtection="1">
      <alignment horizontal="left"/>
      <protection locked="0"/>
    </xf>
    <xf numFmtId="0" fontId="17" fillId="0" borderId="0" xfId="0" applyNumberFormat="1" applyFont="1" applyFill="1" applyBorder="1" applyAlignment="1" applyProtection="1">
      <alignment horizontal="left"/>
      <protection locked="0"/>
    </xf>
    <xf numFmtId="0" fontId="17" fillId="0" borderId="0" xfId="0" applyNumberFormat="1" applyFont="1" applyFill="1" applyBorder="1" applyAlignment="1" applyProtection="1">
      <protection locked="0"/>
    </xf>
    <xf numFmtId="0" fontId="18" fillId="2" borderId="0" xfId="0" applyNumberFormat="1" applyFont="1" applyFill="1" applyBorder="1" applyAlignment="1" applyProtection="1">
      <alignment horizontal="left" vertical="center"/>
      <protection locked="0"/>
    </xf>
    <xf numFmtId="0" fontId="19" fillId="0" borderId="0" xfId="0" applyNumberFormat="1" applyFont="1" applyFill="1" applyBorder="1" applyAlignment="1" applyProtection="1">
      <protection locked="0"/>
    </xf>
    <xf numFmtId="0" fontId="20" fillId="0" borderId="0" xfId="0" applyNumberFormat="1" applyFont="1" applyFill="1" applyBorder="1" applyAlignment="1" applyProtection="1">
      <protection locked="0"/>
    </xf>
    <xf numFmtId="0" fontId="21" fillId="0" borderId="13" xfId="0" applyNumberFormat="1" applyFont="1" applyFill="1" applyBorder="1" applyAlignment="1" applyProtection="1">
      <alignment horizontal="left"/>
      <protection locked="0"/>
    </xf>
    <xf numFmtId="0" fontId="20" fillId="0" borderId="0" xfId="0" applyNumberFormat="1" applyFont="1" applyFill="1" applyBorder="1" applyAlignment="1" applyProtection="1">
      <alignment horizontal="center"/>
      <protection locked="0"/>
    </xf>
    <xf numFmtId="3" fontId="22" fillId="0" borderId="0" xfId="0" applyNumberFormat="1" applyFont="1" applyFill="1" applyBorder="1" applyAlignment="1" applyProtection="1">
      <alignment horizontal="center"/>
      <protection locked="0"/>
    </xf>
    <xf numFmtId="3" fontId="23" fillId="4" borderId="14" xfId="0" applyNumberFormat="1" applyFont="1" applyFill="1" applyBorder="1" applyAlignment="1" applyProtection="1">
      <alignment horizontal="center"/>
      <protection locked="0"/>
    </xf>
    <xf numFmtId="0" fontId="21" fillId="0" borderId="13" xfId="0" applyNumberFormat="1" applyFont="1" applyFill="1" applyBorder="1" applyAlignment="1" applyProtection="1">
      <protection locked="0"/>
    </xf>
    <xf numFmtId="3" fontId="23" fillId="4" borderId="3" xfId="0" applyNumberFormat="1" applyFont="1" applyFill="1" applyBorder="1" applyAlignment="1" applyProtection="1">
      <alignment horizontal="center" vertical="center"/>
      <protection locked="0"/>
    </xf>
    <xf numFmtId="0" fontId="24" fillId="0" borderId="15" xfId="0" applyNumberFormat="1" applyFont="1" applyFill="1" applyBorder="1" applyAlignment="1" applyProtection="1">
      <protection locked="0"/>
    </xf>
    <xf numFmtId="38" fontId="25" fillId="4" borderId="5" xfId="0" applyNumberFormat="1" applyFont="1" applyFill="1" applyBorder="1" applyAlignment="1" applyProtection="1">
      <alignment horizontal="center"/>
      <protection locked="0"/>
    </xf>
    <xf numFmtId="0" fontId="20" fillId="0" borderId="15" xfId="0" applyNumberFormat="1" applyFont="1" applyFill="1" applyBorder="1" applyAlignment="1" applyProtection="1">
      <protection locked="0"/>
    </xf>
    <xf numFmtId="0" fontId="20" fillId="4" borderId="5" xfId="0" applyNumberFormat="1" applyFont="1" applyFill="1" applyBorder="1" applyAlignment="1" applyProtection="1">
      <protection locked="0"/>
    </xf>
    <xf numFmtId="0" fontId="26" fillId="0" borderId="0" xfId="0" applyNumberFormat="1" applyFont="1" applyFill="1" applyBorder="1" applyAlignment="1" applyProtection="1">
      <protection locked="0"/>
    </xf>
    <xf numFmtId="0" fontId="26" fillId="4" borderId="16" xfId="0" applyNumberFormat="1" applyFont="1" applyFill="1" applyBorder="1" applyAlignment="1" applyProtection="1">
      <protection locked="0"/>
    </xf>
    <xf numFmtId="3" fontId="27" fillId="0" borderId="0" xfId="0" applyNumberFormat="1" applyFont="1" applyFill="1" applyBorder="1" applyAlignment="1" applyProtection="1">
      <alignment horizontal="left"/>
      <protection locked="0"/>
    </xf>
    <xf numFmtId="0" fontId="28" fillId="0" borderId="0" xfId="0" applyNumberFormat="1" applyFont="1" applyFill="1" applyBorder="1" applyAlignment="1" applyProtection="1">
      <protection locked="0"/>
    </xf>
    <xf numFmtId="0" fontId="11" fillId="3" borderId="2" xfId="0" applyNumberFormat="1" applyFont="1" applyFill="1" applyBorder="1" applyAlignment="1" applyProtection="1">
      <alignment horizontal="center"/>
      <protection locked="0"/>
    </xf>
    <xf numFmtId="3" fontId="29" fillId="3" borderId="2" xfId="0" applyNumberFormat="1" applyFont="1" applyFill="1" applyBorder="1" applyAlignment="1" applyProtection="1">
      <alignment horizontal="center"/>
      <protection locked="0"/>
    </xf>
    <xf numFmtId="0" fontId="30" fillId="3" borderId="17" xfId="0" applyNumberFormat="1" applyFont="1" applyFill="1" applyBorder="1" applyAlignment="1" applyProtection="1">
      <alignment horizontal="center"/>
      <protection locked="0"/>
    </xf>
    <xf numFmtId="3" fontId="31" fillId="3" borderId="11" xfId="0" applyNumberFormat="1" applyFont="1" applyFill="1" applyBorder="1" applyAlignment="1" applyProtection="1">
      <alignment horizontal="center"/>
      <protection locked="0"/>
    </xf>
    <xf numFmtId="0" fontId="21" fillId="0" borderId="6" xfId="0" applyNumberFormat="1" applyFont="1" applyFill="1" applyBorder="1" applyAlignment="1" applyProtection="1">
      <protection locked="0"/>
    </xf>
    <xf numFmtId="3" fontId="23" fillId="0" borderId="6" xfId="0" applyNumberFormat="1" applyFont="1" applyFill="1" applyBorder="1" applyAlignment="1" applyProtection="1">
      <alignment horizontal="center"/>
      <protection locked="0"/>
    </xf>
    <xf numFmtId="3" fontId="21" fillId="0" borderId="18" xfId="0" applyNumberFormat="1" applyFont="1" applyFill="1" applyBorder="1" applyAlignment="1" applyProtection="1">
      <alignment horizontal="center"/>
      <protection locked="0"/>
    </xf>
    <xf numFmtId="0" fontId="21" fillId="0" borderId="7" xfId="0" applyNumberFormat="1" applyFont="1" applyFill="1" applyBorder="1" applyAlignment="1" applyProtection="1">
      <protection locked="0"/>
    </xf>
    <xf numFmtId="3" fontId="23" fillId="0" borderId="7" xfId="0" applyNumberFormat="1" applyFont="1" applyFill="1" applyBorder="1" applyAlignment="1" applyProtection="1">
      <alignment horizontal="center"/>
      <protection locked="0"/>
    </xf>
    <xf numFmtId="0" fontId="31" fillId="0" borderId="19" xfId="0" applyNumberFormat="1" applyFont="1" applyFill="1" applyBorder="1" applyAlignment="1" applyProtection="1">
      <alignment horizontal="left"/>
      <protection locked="0"/>
    </xf>
    <xf numFmtId="3" fontId="21" fillId="0" borderId="20" xfId="0" applyNumberFormat="1" applyFont="1" applyFill="1" applyBorder="1" applyAlignment="1" applyProtection="1">
      <alignment horizontal="center"/>
      <protection locked="0"/>
    </xf>
    <xf numFmtId="3" fontId="24" fillId="0" borderId="20" xfId="0" applyNumberFormat="1" applyFont="1" applyFill="1" applyBorder="1" applyAlignment="1" applyProtection="1">
      <alignment horizontal="center"/>
      <protection locked="0"/>
    </xf>
    <xf numFmtId="0" fontId="24" fillId="0" borderId="4" xfId="0" applyNumberFormat="1" applyFont="1" applyFill="1" applyBorder="1" applyAlignment="1" applyProtection="1">
      <alignment horizontal="left"/>
      <protection locked="0"/>
    </xf>
    <xf numFmtId="3" fontId="25" fillId="4" borderId="4" xfId="0" applyNumberFormat="1" applyFont="1" applyFill="1" applyBorder="1" applyAlignment="1" applyProtection="1">
      <alignment horizontal="center"/>
      <protection locked="0"/>
    </xf>
    <xf numFmtId="3" fontId="24" fillId="4" borderId="4" xfId="0" applyNumberFormat="1" applyFont="1" applyFill="1" applyBorder="1" applyAlignment="1" applyProtection="1">
      <alignment horizontal="center"/>
      <protection locked="0"/>
    </xf>
    <xf numFmtId="0" fontId="32" fillId="0" borderId="0" xfId="0" applyNumberFormat="1" applyFont="1" applyFill="1" applyBorder="1" applyAlignment="1" applyProtection="1">
      <protection locked="0"/>
    </xf>
    <xf numFmtId="3" fontId="29" fillId="0" borderId="0" xfId="0" applyNumberFormat="1" applyFont="1" applyFill="1" applyBorder="1" applyAlignment="1" applyProtection="1">
      <alignment horizontal="center"/>
      <protection locked="0"/>
    </xf>
    <xf numFmtId="3" fontId="32" fillId="0" borderId="0" xfId="0" applyNumberFormat="1" applyFont="1" applyFill="1" applyBorder="1" applyAlignment="1" applyProtection="1">
      <alignment horizontal="right"/>
      <protection locked="0"/>
    </xf>
    <xf numFmtId="0" fontId="30" fillId="3" borderId="1" xfId="0" applyNumberFormat="1" applyFont="1" applyFill="1" applyBorder="1" applyAlignment="1" applyProtection="1">
      <protection locked="0"/>
    </xf>
    <xf numFmtId="3" fontId="29" fillId="3" borderId="1" xfId="0" applyNumberFormat="1" applyFont="1" applyFill="1" applyBorder="1" applyAlignment="1" applyProtection="1">
      <alignment horizontal="center"/>
      <protection locked="0"/>
    </xf>
    <xf numFmtId="3" fontId="24" fillId="3" borderId="11" xfId="0" applyNumberFormat="1" applyFont="1" applyFill="1" applyBorder="1" applyAlignment="1" applyProtection="1">
      <alignment horizontal="center"/>
      <protection locked="0"/>
    </xf>
    <xf numFmtId="3" fontId="21" fillId="0" borderId="21" xfId="0" applyNumberFormat="1" applyFont="1" applyFill="1" applyBorder="1" applyAlignment="1" applyProtection="1">
      <alignment horizontal="center"/>
      <protection locked="0"/>
    </xf>
    <xf numFmtId="0" fontId="33" fillId="0" borderId="7" xfId="0" applyNumberFormat="1" applyFont="1" applyFill="1" applyBorder="1" applyAlignment="1" applyProtection="1">
      <protection locked="0"/>
    </xf>
    <xf numFmtId="3" fontId="21" fillId="0" borderId="22" xfId="0" applyNumberFormat="1" applyFont="1" applyFill="1" applyBorder="1" applyAlignment="1" applyProtection="1">
      <alignment horizontal="center"/>
      <protection locked="0"/>
    </xf>
    <xf numFmtId="0" fontId="24" fillId="0" borderId="23" xfId="0" applyNumberFormat="1" applyFont="1" applyFill="1" applyBorder="1" applyAlignment="1" applyProtection="1">
      <protection locked="0"/>
    </xf>
    <xf numFmtId="3" fontId="25" fillId="4" borderId="5" xfId="0" applyNumberFormat="1" applyFont="1" applyFill="1" applyBorder="1" applyAlignment="1" applyProtection="1">
      <alignment horizontal="center"/>
      <protection locked="0"/>
    </xf>
    <xf numFmtId="0" fontId="21" fillId="0" borderId="0" xfId="0" applyNumberFormat="1" applyFont="1" applyFill="1" applyBorder="1" applyAlignment="1" applyProtection="1">
      <alignment horizontal="left"/>
      <protection locked="0"/>
    </xf>
    <xf numFmtId="3" fontId="24" fillId="4" borderId="5" xfId="0" applyNumberFormat="1" applyFont="1" applyFill="1" applyBorder="1" applyAlignment="1" applyProtection="1">
      <alignment horizontal="center"/>
      <protection locked="0"/>
    </xf>
    <xf numFmtId="0" fontId="30" fillId="3" borderId="2" xfId="0" applyNumberFormat="1" applyFont="1" applyFill="1" applyBorder="1" applyAlignment="1" applyProtection="1">
      <protection locked="0"/>
    </xf>
    <xf numFmtId="0" fontId="21" fillId="0" borderId="24" xfId="0" applyNumberFormat="1" applyFont="1" applyFill="1" applyBorder="1" applyAlignment="1" applyProtection="1">
      <protection locked="0"/>
    </xf>
    <xf numFmtId="3" fontId="23" fillId="0" borderId="24" xfId="0" applyNumberFormat="1" applyFont="1" applyFill="1" applyBorder="1" applyAlignment="1" applyProtection="1">
      <alignment horizontal="center"/>
      <protection locked="0"/>
    </xf>
    <xf numFmtId="0" fontId="21" fillId="0" borderId="25" xfId="0" applyNumberFormat="1" applyFont="1" applyFill="1" applyBorder="1" applyAlignment="1" applyProtection="1">
      <protection locked="0"/>
    </xf>
    <xf numFmtId="3" fontId="23" fillId="0" borderId="25" xfId="0" applyNumberFormat="1" applyFont="1" applyFill="1" applyBorder="1" applyAlignment="1" applyProtection="1">
      <alignment horizontal="center"/>
      <protection locked="0"/>
    </xf>
    <xf numFmtId="3" fontId="25" fillId="4" borderId="12" xfId="0" applyNumberFormat="1" applyFont="1" applyFill="1" applyBorder="1" applyAlignment="1" applyProtection="1">
      <alignment horizontal="center"/>
      <protection locked="0"/>
    </xf>
    <xf numFmtId="3" fontId="24" fillId="4" borderId="12" xfId="0" applyNumberFormat="1" applyFont="1" applyFill="1" applyBorder="1" applyAlignment="1" applyProtection="1">
      <alignment horizontal="center"/>
      <protection locked="0"/>
    </xf>
    <xf numFmtId="3" fontId="34" fillId="0" borderId="0" xfId="0" applyNumberFormat="1" applyFont="1" applyFill="1" applyBorder="1" applyAlignment="1" applyProtection="1">
      <alignment horizontal="center"/>
      <protection locked="0"/>
    </xf>
    <xf numFmtId="3" fontId="35" fillId="0" borderId="0" xfId="0" applyNumberFormat="1" applyFont="1" applyFill="1" applyBorder="1" applyAlignment="1" applyProtection="1">
      <protection locked="0"/>
    </xf>
    <xf numFmtId="0" fontId="17" fillId="0" borderId="0" xfId="0" applyNumberFormat="1" applyFont="1" applyFill="1" applyBorder="1" applyAlignment="1" applyProtection="1">
      <alignment horizontal="right"/>
      <protection locked="0"/>
    </xf>
    <xf numFmtId="0" fontId="24" fillId="0" borderId="26" xfId="0" applyNumberFormat="1" applyFont="1" applyFill="1" applyBorder="1" applyAlignment="1" applyProtection="1">
      <alignment horizontal="left"/>
      <protection locked="0"/>
    </xf>
    <xf numFmtId="0" fontId="36" fillId="0" borderId="24" xfId="0" applyNumberFormat="1" applyFont="1" applyFill="1" applyBorder="1" applyAlignment="1" applyProtection="1">
      <protection locked="0"/>
    </xf>
    <xf numFmtId="0" fontId="37" fillId="0" borderId="0" xfId="0" applyNumberFormat="1" applyFont="1" applyFill="1" applyBorder="1" applyAlignment="1" applyProtection="1">
      <protection locked="0"/>
    </xf>
    <xf numFmtId="0" fontId="38" fillId="0" borderId="0" xfId="0" applyNumberFormat="1" applyFont="1" applyFill="1" applyBorder="1" applyAlignment="1" applyProtection="1">
      <protection locked="0"/>
    </xf>
    <xf numFmtId="0" fontId="39" fillId="0" borderId="19" xfId="0" applyNumberFormat="1" applyFont="1" applyFill="1" applyBorder="1" applyAlignment="1" applyProtection="1">
      <alignment horizontal="left"/>
      <protection locked="0"/>
    </xf>
    <xf numFmtId="0" fontId="41" fillId="0" borderId="19" xfId="0" applyNumberFormat="1" applyFont="1" applyFill="1" applyBorder="1" applyAlignment="1" applyProtection="1">
      <alignment horizontal="left"/>
      <protection locked="0"/>
    </xf>
    <xf numFmtId="0" fontId="45" fillId="0" borderId="0" xfId="0" applyNumberFormat="1" applyFont="1" applyFill="1" applyBorder="1" applyAlignment="1" applyProtection="1">
      <protection locked="0"/>
    </xf>
    <xf numFmtId="0" fontId="2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horizontal="left"/>
      <protection locked="0"/>
    </xf>
    <xf numFmtId="0" fontId="51" fillId="0" borderId="19" xfId="0" applyNumberFormat="1" applyFont="1" applyFill="1" applyBorder="1" applyAlignment="1" applyProtection="1">
      <alignment horizontal="left" vertical="center"/>
      <protection locked="0"/>
    </xf>
    <xf numFmtId="0" fontId="53" fillId="0" borderId="0" xfId="0" applyNumberFormat="1" applyFont="1" applyFill="1" applyBorder="1" applyAlignment="1" applyProtection="1">
      <alignment horizontal="left"/>
      <protection locked="0"/>
    </xf>
    <xf numFmtId="0" fontId="53" fillId="0" borderId="0" xfId="0" applyNumberFormat="1" applyFont="1" applyFill="1" applyBorder="1" applyAlignment="1" applyProtection="1">
      <protection locked="0"/>
    </xf>
    <xf numFmtId="0" fontId="38" fillId="0" borderId="0" xfId="0" applyNumberFormat="1" applyFont="1" applyFill="1" applyBorder="1" applyAlignment="1" applyProtection="1">
      <alignment horizontal="center"/>
      <protection locked="0"/>
    </xf>
    <xf numFmtId="0" fontId="45" fillId="0" borderId="0" xfId="0" applyNumberFormat="1" applyFont="1" applyFill="1" applyBorder="1" applyAlignment="1" applyProtection="1">
      <alignment horizontal="center"/>
      <protection locked="0"/>
    </xf>
    <xf numFmtId="0" fontId="55" fillId="0" borderId="0" xfId="0" applyNumberFormat="1" applyFont="1" applyFill="1" applyBorder="1" applyAlignment="1" applyProtection="1">
      <protection locked="0"/>
    </xf>
    <xf numFmtId="0" fontId="36" fillId="0" borderId="7" xfId="0" applyNumberFormat="1" applyFont="1" applyFill="1" applyBorder="1" applyAlignment="1" applyProtection="1">
      <protection locked="0"/>
    </xf>
    <xf numFmtId="0" fontId="51" fillId="0" borderId="7" xfId="0" applyNumberFormat="1" applyFont="1" applyFill="1" applyBorder="1" applyAlignment="1" applyProtection="1">
      <protection locked="0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zoomScale="130" zoomScaleNormal="130" zoomScalePageLayoutView="130" workbookViewId="0">
      <selection activeCell="D36" sqref="D36"/>
    </sheetView>
  </sheetViews>
  <sheetFormatPr baseColWidth="10" defaultColWidth="11.5" defaultRowHeight="12" x14ac:dyDescent="0"/>
  <cols>
    <col min="1" max="1" width="33.1640625" style="1" customWidth="1"/>
    <col min="2" max="2" width="18.1640625" style="1" customWidth="1"/>
    <col min="3" max="3" width="58.6640625" style="1" customWidth="1"/>
    <col min="4" max="4" width="20.5" style="1" customWidth="1"/>
    <col min="5" max="5" width="18.33203125" style="1" customWidth="1"/>
    <col min="6" max="6" width="12.6640625" style="1" hidden="1" customWidth="1"/>
    <col min="7" max="7" width="5.1640625" style="1" customWidth="1"/>
    <col min="8" max="8" width="11.5" hidden="1" customWidth="1"/>
  </cols>
  <sheetData>
    <row r="1" spans="1:8" ht="33">
      <c r="A1" s="33" t="s">
        <v>34</v>
      </c>
      <c r="B1" s="27"/>
      <c r="C1" s="7"/>
      <c r="D1" s="26"/>
      <c r="E1" s="26"/>
      <c r="F1" s="4"/>
    </row>
    <row r="2" spans="1:8" ht="15">
      <c r="A2" s="90" t="s">
        <v>65</v>
      </c>
      <c r="B2" s="91" t="s">
        <v>54</v>
      </c>
      <c r="E2" s="29"/>
      <c r="F2" s="21"/>
    </row>
    <row r="3" spans="1:8" ht="16">
      <c r="A3" s="5"/>
      <c r="B3" s="25" t="s">
        <v>55</v>
      </c>
      <c r="C3" s="52" t="s">
        <v>38</v>
      </c>
      <c r="D3" s="6" t="s">
        <v>36</v>
      </c>
      <c r="E3" s="24" t="s">
        <v>35</v>
      </c>
      <c r="F3" s="14" t="s">
        <v>0</v>
      </c>
      <c r="H3" s="3"/>
    </row>
    <row r="4" spans="1:8" ht="16">
      <c r="A4" s="36" t="s">
        <v>1</v>
      </c>
      <c r="B4" s="37">
        <v>61560</v>
      </c>
      <c r="C4" s="38" t="s">
        <v>39</v>
      </c>
      <c r="D4" s="39">
        <v>61560</v>
      </c>
      <c r="E4" s="39">
        <v>61560</v>
      </c>
      <c r="F4" s="8" t="str">
        <f>IF(OR(D4,E4),IF(D4-E4&gt;0,FIXED(D4-E4,2)&amp;" over",IF(D4-E4&lt;0,FIXED(E4-D4,2)&amp;" under","at budget")),"")</f>
        <v>at budget</v>
      </c>
      <c r="H4" s="3"/>
    </row>
    <row r="5" spans="1:8" ht="16">
      <c r="A5" s="40" t="s">
        <v>2</v>
      </c>
      <c r="B5" s="41">
        <f>SUM(B26+B33)</f>
        <v>58670</v>
      </c>
      <c r="C5" s="32" t="s">
        <v>22</v>
      </c>
      <c r="D5" s="41">
        <f>SUM(D26+D33)</f>
        <v>61919</v>
      </c>
      <c r="E5" s="41">
        <v>55875</v>
      </c>
      <c r="F5" s="8" t="str">
        <f>IF(OR(D5,E5),IF(D5-E5&gt;0,FIXED(D5-E5,2)&amp;" over",IF(D5-E5&lt;0,FIXED(E5-D5,2)&amp;" under","at budget")),"")</f>
        <v>6,044.00 over</v>
      </c>
    </row>
    <row r="6" spans="1:8" ht="17" thickBot="1">
      <c r="A6" s="42" t="s">
        <v>3</v>
      </c>
      <c r="B6" s="43">
        <f>B4-B5</f>
        <v>2890</v>
      </c>
      <c r="C6" s="32" t="s">
        <v>40</v>
      </c>
      <c r="D6" s="43">
        <f>D4-D5</f>
        <v>-359</v>
      </c>
      <c r="E6" s="43">
        <v>5685</v>
      </c>
      <c r="F6" s="11" t="str">
        <f>IF(OR(D6,E6),IF(D6-E6&gt;0,FIXED(D6-E6,2)&amp;" over ",IF(D6-E6&lt;0,FIXED(E6-D6,2)&amp;" under","at budget")),"")</f>
        <v>6,044.00 under</v>
      </c>
    </row>
    <row r="7" spans="1:8" ht="16" thickBot="1">
      <c r="A7" s="44"/>
      <c r="B7" s="45"/>
      <c r="C7" s="46"/>
      <c r="D7" s="46"/>
      <c r="E7" s="45"/>
    </row>
    <row r="8" spans="1:8" ht="16" thickBot="1">
      <c r="A8" s="44"/>
      <c r="B8" s="45"/>
      <c r="C8" s="46"/>
      <c r="D8" s="47"/>
      <c r="E8" s="45"/>
    </row>
    <row r="9" spans="1:8" ht="16">
      <c r="A9" s="34" t="s">
        <v>4</v>
      </c>
      <c r="B9" s="48"/>
      <c r="C9" s="49"/>
      <c r="D9" s="46"/>
      <c r="E9" s="48"/>
    </row>
    <row r="10" spans="1:8" ht="16">
      <c r="A10" s="50"/>
      <c r="B10" s="51"/>
      <c r="C10" s="52" t="s">
        <v>38</v>
      </c>
      <c r="D10" s="53"/>
      <c r="E10" s="51"/>
    </row>
    <row r="11" spans="1:8" ht="16">
      <c r="A11" s="54" t="s">
        <v>5</v>
      </c>
      <c r="B11" s="55">
        <v>61560</v>
      </c>
      <c r="C11" s="88" t="s">
        <v>44</v>
      </c>
      <c r="D11" s="56">
        <v>61560</v>
      </c>
      <c r="E11" s="55">
        <v>61560</v>
      </c>
      <c r="F11" s="12" t="str">
        <f>IF(OR(D11,E11,(D11+E11=0)),IF(D11-E11&gt;0,FIXED(D11-E11,2)&amp;" over",IF(D11-E11&lt;0,FIXED(E11-D11,2)&amp;" under","at budget")),"")</f>
        <v>at budget</v>
      </c>
    </row>
    <row r="12" spans="1:8" ht="16">
      <c r="A12" s="57" t="s">
        <v>6</v>
      </c>
      <c r="B12" s="58">
        <v>0</v>
      </c>
      <c r="C12" s="59" t="s">
        <v>43</v>
      </c>
      <c r="D12" s="60">
        <v>19</v>
      </c>
      <c r="E12" s="58">
        <v>0</v>
      </c>
      <c r="F12" s="13" t="str">
        <f>IF(OR(D12,E12,(D12+E12=0)),IF(D12-E12&gt;0,FIXED(D12-E12,2)&amp;" over",IF(D12-E12&lt;0,FIXED(E12-D12,2)&amp;" under","at budget")),"")</f>
        <v>19.00 over</v>
      </c>
    </row>
    <row r="13" spans="1:8" ht="17" thickBot="1">
      <c r="A13" s="57" t="s">
        <v>7</v>
      </c>
      <c r="B13" s="58"/>
      <c r="C13" s="91"/>
      <c r="D13" s="61">
        <v>0</v>
      </c>
      <c r="E13" s="58">
        <v>0</v>
      </c>
      <c r="F13" s="13" t="str">
        <f>IF(OR(D13,E13,(D13+E13=0)),IF(D13-E13&gt;0,FIXED(D13-E13,2)&amp;" over",IF(D13-E13&lt;0,FIXED(E13-D13,2)&amp;" under","at budget")),"")</f>
        <v>at budget</v>
      </c>
    </row>
    <row r="14" spans="1:8" ht="17" thickBot="1">
      <c r="A14" s="62" t="s">
        <v>8</v>
      </c>
      <c r="B14" s="63">
        <f>SUM(B11:B13)</f>
        <v>61560</v>
      </c>
      <c r="D14" s="64">
        <f>SUM(D11:D13)</f>
        <v>61579</v>
      </c>
      <c r="E14" s="63">
        <f>SUM(E11:E13)</f>
        <v>61560</v>
      </c>
      <c r="F14" s="10" t="str">
        <f>IF(OR(D14,E14),IF(D14-E14&gt;0,FIXED(D14-E14,2)&amp;" over",IF(D14-E14&lt;0,FIXED(E14-D14,2)&amp;" under","at budget")),"")</f>
        <v>19.00 over</v>
      </c>
    </row>
    <row r="15" spans="1:8" ht="16">
      <c r="A15" s="65"/>
      <c r="B15" s="66"/>
      <c r="C15" s="35"/>
      <c r="D15" s="67"/>
      <c r="E15" s="66"/>
      <c r="F15" s="9"/>
    </row>
    <row r="16" spans="1:8" ht="16">
      <c r="A16" s="68" t="s">
        <v>9</v>
      </c>
      <c r="B16" s="69"/>
      <c r="C16" s="52" t="s">
        <v>38</v>
      </c>
      <c r="D16" s="70"/>
      <c r="E16" s="69"/>
      <c r="F16" s="14"/>
    </row>
    <row r="17" spans="1:6" ht="16">
      <c r="A17" s="54" t="s">
        <v>29</v>
      </c>
      <c r="B17" s="55">
        <v>10750</v>
      </c>
      <c r="C17" s="92" t="s">
        <v>45</v>
      </c>
      <c r="D17" s="56">
        <v>9587</v>
      </c>
      <c r="E17" s="55">
        <v>8500</v>
      </c>
      <c r="F17" s="12" t="str">
        <f t="shared" ref="F17:F25" si="0">IF(OR(D17,E17,(D17+E17=0)),IF(D17-E17&gt;0,FIXED(D17-E17,2)&amp;" over",IF(D17-E17&lt;0,FIXED(E17-D17,2)&amp;" under","at budget")),"")</f>
        <v>1,087.00 over</v>
      </c>
    </row>
    <row r="18" spans="1:6" ht="16">
      <c r="A18" s="103" t="s">
        <v>66</v>
      </c>
      <c r="B18" s="58">
        <v>2500</v>
      </c>
      <c r="C18" s="102" t="s">
        <v>68</v>
      </c>
      <c r="D18" s="71">
        <v>8778</v>
      </c>
      <c r="E18" s="58">
        <v>1000</v>
      </c>
      <c r="F18" s="22" t="str">
        <f t="shared" si="0"/>
        <v>7,778.00 over</v>
      </c>
    </row>
    <row r="19" spans="1:6" ht="16">
      <c r="A19" s="104" t="s">
        <v>67</v>
      </c>
      <c r="B19" s="58">
        <v>1500</v>
      </c>
      <c r="C19" s="102"/>
      <c r="D19" s="71"/>
      <c r="E19" s="58"/>
      <c r="F19" s="22"/>
    </row>
    <row r="20" spans="1:6" ht="16">
      <c r="A20" s="57" t="s">
        <v>10</v>
      </c>
      <c r="B20" s="58">
        <v>5500</v>
      </c>
      <c r="C20" s="93" t="s">
        <v>51</v>
      </c>
      <c r="D20" s="71">
        <v>5450</v>
      </c>
      <c r="E20" s="58">
        <v>5300</v>
      </c>
      <c r="F20" s="13" t="str">
        <f t="shared" si="0"/>
        <v>150.00 over</v>
      </c>
    </row>
    <row r="21" spans="1:6" ht="16">
      <c r="A21" s="57" t="s">
        <v>11</v>
      </c>
      <c r="B21" s="58">
        <v>16000</v>
      </c>
      <c r="C21" s="96" t="s">
        <v>52</v>
      </c>
      <c r="D21" s="71">
        <v>15010</v>
      </c>
      <c r="E21" s="58">
        <v>19050</v>
      </c>
      <c r="F21" s="13" t="str">
        <f t="shared" si="0"/>
        <v>4,040.00 under</v>
      </c>
    </row>
    <row r="22" spans="1:6" ht="16">
      <c r="A22" s="57" t="s">
        <v>12</v>
      </c>
      <c r="B22" s="58">
        <v>4700</v>
      </c>
      <c r="C22" s="97" t="s">
        <v>57</v>
      </c>
      <c r="D22" s="71">
        <v>4476</v>
      </c>
      <c r="E22" s="58">
        <v>4550</v>
      </c>
      <c r="F22" s="13" t="str">
        <f t="shared" si="0"/>
        <v>74.00 under</v>
      </c>
    </row>
    <row r="23" spans="1:6" ht="16">
      <c r="A23" s="72" t="s">
        <v>13</v>
      </c>
      <c r="B23" s="58">
        <v>5950</v>
      </c>
      <c r="C23" s="97" t="s">
        <v>58</v>
      </c>
      <c r="D23" s="71">
        <v>5658</v>
      </c>
      <c r="E23" s="58">
        <v>4375</v>
      </c>
      <c r="F23" s="13" t="str">
        <f t="shared" si="0"/>
        <v>1,283.00 over</v>
      </c>
    </row>
    <row r="24" spans="1:6" ht="16">
      <c r="A24" s="72" t="s">
        <v>14</v>
      </c>
      <c r="B24" s="58">
        <v>4900</v>
      </c>
      <c r="C24" s="97" t="s">
        <v>59</v>
      </c>
      <c r="D24" s="71">
        <v>4645</v>
      </c>
      <c r="E24" s="58">
        <v>4000</v>
      </c>
      <c r="F24" s="13" t="str">
        <f t="shared" si="0"/>
        <v>645.00 over</v>
      </c>
    </row>
    <row r="25" spans="1:6" ht="17" thickBot="1">
      <c r="A25" s="72" t="s">
        <v>15</v>
      </c>
      <c r="B25" s="58">
        <v>870</v>
      </c>
      <c r="C25" s="97" t="s">
        <v>60</v>
      </c>
      <c r="D25" s="73">
        <v>826</v>
      </c>
      <c r="E25" s="58">
        <v>700</v>
      </c>
      <c r="F25" s="15" t="str">
        <f t="shared" si="0"/>
        <v>126.00 over</v>
      </c>
    </row>
    <row r="26" spans="1:6" ht="16">
      <c r="A26" s="74" t="s">
        <v>16</v>
      </c>
      <c r="B26" s="75">
        <f>SUM(B16:B25)</f>
        <v>52670</v>
      </c>
      <c r="C26" s="76"/>
      <c r="D26" s="77">
        <f>SUM(D16:D25)</f>
        <v>54430</v>
      </c>
      <c r="E26" s="75">
        <f>SUM(E16:E25)</f>
        <v>47475</v>
      </c>
      <c r="F26" s="16" t="str">
        <f>IF(OR(D26,E26,(D26+E26=0)),IF(D26-E26&gt;0,FIXED(D26-E26,2)&amp;" over ",IF(D26-E26&lt;0,FIXED(E26-D26,2)&amp;" under","at budget")),"")</f>
        <v xml:space="preserve">6,955.00 over </v>
      </c>
    </row>
    <row r="27" spans="1:6" ht="16">
      <c r="A27" s="78" t="s">
        <v>17</v>
      </c>
      <c r="B27" s="51"/>
      <c r="C27" s="52"/>
      <c r="D27" s="70"/>
      <c r="E27" s="51"/>
      <c r="F27" s="17"/>
    </row>
    <row r="28" spans="1:6" ht="16">
      <c r="A28" s="79" t="s">
        <v>30</v>
      </c>
      <c r="B28" s="80">
        <v>5300</v>
      </c>
      <c r="C28" s="95" t="s">
        <v>49</v>
      </c>
      <c r="D28" s="56">
        <v>6438</v>
      </c>
      <c r="E28" s="80">
        <v>7000</v>
      </c>
      <c r="F28" s="12" t="str">
        <f>IF(OR(D28,E28,(D28+E28=0)),IF(D28-E28&gt;0,FIXED(D28-E28,2)&amp;" over",IF(D28-E28&lt;0,FIXED(E28-D28,2)&amp;" under","at budget")),"")</f>
        <v>562.00 under</v>
      </c>
    </row>
    <row r="29" spans="1:6" ht="16">
      <c r="A29" s="89" t="s">
        <v>32</v>
      </c>
      <c r="B29" s="80">
        <v>500</v>
      </c>
      <c r="C29" s="35" t="s">
        <v>50</v>
      </c>
      <c r="D29" s="71">
        <v>1000</v>
      </c>
      <c r="E29" s="80">
        <v>1000</v>
      </c>
      <c r="F29" s="12" t="e">
        <f>IF(OR(#REF!,E29,(#REF!+E29=0)),IF(#REF!-E29&gt;0,FIXED(#REF!-E29,2)&amp;" over",IF(#REF!-E29&lt;0,FIXED(E29-#REF!,2)&amp;" under","at budget")),"")</f>
        <v>#REF!</v>
      </c>
    </row>
    <row r="30" spans="1:6" ht="16">
      <c r="A30" s="89" t="s">
        <v>33</v>
      </c>
      <c r="B30" s="80">
        <v>200</v>
      </c>
      <c r="C30" s="35" t="s">
        <v>42</v>
      </c>
      <c r="D30" s="71">
        <v>51</v>
      </c>
      <c r="E30" s="80">
        <v>400</v>
      </c>
      <c r="F30" s="13" t="str">
        <f>IF(OR(D29,E30,(D29+E30=0)),IF(D29-E30&gt;0,FIXED(D29-E30,2)&amp;" over",IF(D29-E30&lt;0,FIXED(E30-D29,2)&amp;" under","at budget")),"")</f>
        <v>600.00 over</v>
      </c>
    </row>
    <row r="31" spans="1:6" ht="15">
      <c r="C31" s="35" t="s">
        <v>41</v>
      </c>
      <c r="E31" s="80"/>
      <c r="F31" s="13" t="str">
        <f>IF(OR(D30,E31,(D30+E31=0)),IF(D30-E31&gt;0,FIXED(D30-E31,2)&amp;" over",IF(D30-E31&lt;0,FIXED(E31-D30,2)&amp;" under","at budget")),"")</f>
        <v>51.00 over</v>
      </c>
    </row>
    <row r="32" spans="1:6" ht="17" thickBot="1">
      <c r="A32" s="81"/>
      <c r="B32" s="82"/>
      <c r="C32" s="35" t="s">
        <v>61</v>
      </c>
      <c r="D32" s="73"/>
      <c r="E32" s="82"/>
      <c r="F32" s="15" t="str">
        <f>IF(OR(D32,E32,(D32+E32=0)),IF(D32-E32&gt;0,FIXED(D32-E32,2)&amp;" over",IF(D32-E32&lt;0,FIXED(E32-D32,2)&amp;" under","at budget")),"")</f>
        <v>at budget</v>
      </c>
    </row>
    <row r="33" spans="1:6" ht="16">
      <c r="A33" s="74" t="s">
        <v>18</v>
      </c>
      <c r="B33" s="83">
        <f>SUM(B28:B32)</f>
        <v>6000</v>
      </c>
      <c r="C33" s="35" t="s">
        <v>62</v>
      </c>
      <c r="D33" s="84">
        <f>SUM(D28:D32)</f>
        <v>7489</v>
      </c>
      <c r="E33" s="83">
        <f>SUM(E28:E32)</f>
        <v>8400</v>
      </c>
      <c r="F33" s="23" t="str">
        <f>IF(OR(D33,E33,(D33+E33=0)),IF(D33-E33&gt;0,FIXED(D33-E33,2)&amp;" over ",IF(D33-E33&lt;0,FIXED(E33-D33,2)&amp;" Under","at budget")),"")</f>
        <v>911.00 Under</v>
      </c>
    </row>
    <row r="34" spans="1:6" ht="16">
      <c r="A34" s="31"/>
      <c r="B34" s="85"/>
      <c r="C34" s="35" t="s">
        <v>63</v>
      </c>
      <c r="D34" s="86"/>
      <c r="E34" s="85"/>
      <c r="F34" s="18"/>
    </row>
    <row r="35" spans="1:6" ht="15">
      <c r="A35" s="98" t="s">
        <v>53</v>
      </c>
      <c r="D35" s="94" t="s">
        <v>70</v>
      </c>
      <c r="E35" s="86"/>
      <c r="F35" s="19"/>
    </row>
    <row r="36" spans="1:6" ht="15">
      <c r="A36" s="99" t="s">
        <v>31</v>
      </c>
      <c r="C36" s="100" t="s">
        <v>56</v>
      </c>
      <c r="D36" s="94" t="s">
        <v>69</v>
      </c>
      <c r="E36" s="35"/>
      <c r="F36" s="2"/>
    </row>
    <row r="37" spans="1:6" ht="15">
      <c r="C37" s="94" t="s">
        <v>48</v>
      </c>
      <c r="D37" s="35"/>
      <c r="E37" s="35"/>
    </row>
    <row r="38" spans="1:6" ht="15">
      <c r="A38" s="30" t="s">
        <v>37</v>
      </c>
      <c r="B38" s="35"/>
      <c r="C38" s="94" t="s">
        <v>47</v>
      </c>
      <c r="D38" s="35"/>
      <c r="E38"/>
      <c r="F38" s="28"/>
    </row>
    <row r="39" spans="1:6" ht="15">
      <c r="A39" s="31" t="s">
        <v>23</v>
      </c>
      <c r="C39" s="101" t="s">
        <v>64</v>
      </c>
      <c r="E39" s="35"/>
      <c r="F39" s="28"/>
    </row>
    <row r="40" spans="1:6" ht="15">
      <c r="A40" s="31" t="s">
        <v>19</v>
      </c>
      <c r="B40" s="31" t="s">
        <v>26</v>
      </c>
      <c r="E40" s="35"/>
      <c r="F40" s="28"/>
    </row>
    <row r="41" spans="1:6" ht="15">
      <c r="A41" s="31" t="s">
        <v>20</v>
      </c>
      <c r="B41" s="31" t="s">
        <v>27</v>
      </c>
      <c r="E41" s="35"/>
      <c r="F41" s="20"/>
    </row>
    <row r="42" spans="1:6" ht="15">
      <c r="A42" s="31" t="s">
        <v>24</v>
      </c>
      <c r="B42" s="31" t="s">
        <v>28</v>
      </c>
      <c r="E42" s="35"/>
      <c r="F42" s="20"/>
    </row>
    <row r="43" spans="1:6" ht="15">
      <c r="A43" s="31" t="s">
        <v>25</v>
      </c>
      <c r="B43" s="31" t="s">
        <v>46</v>
      </c>
      <c r="E43" s="35"/>
    </row>
    <row r="44" spans="1:6" ht="15">
      <c r="A44" s="35"/>
      <c r="B44" s="87" t="s">
        <v>21</v>
      </c>
      <c r="E44" s="35"/>
    </row>
    <row r="45" spans="1:6" ht="15">
      <c r="E45" s="35"/>
    </row>
    <row r="46" spans="1:6" ht="15">
      <c r="A46" s="35"/>
      <c r="B46" s="35"/>
      <c r="C46" s="35"/>
    </row>
    <row r="47" spans="1:6" ht="15">
      <c r="A47" s="35"/>
      <c r="B47" s="35"/>
      <c r="C47" s="35"/>
    </row>
    <row r="48" spans="1:6" ht="15">
      <c r="A48" s="35"/>
      <c r="B48" s="35"/>
      <c r="C48" s="35"/>
    </row>
    <row r="49" spans="1:5" ht="15">
      <c r="A49" s="35"/>
      <c r="B49" s="35"/>
      <c r="C49" s="35"/>
    </row>
    <row r="50" spans="1:5" ht="15">
      <c r="A50" s="35"/>
      <c r="B50" s="35"/>
      <c r="C50" s="35"/>
    </row>
    <row r="51" spans="1:5" ht="15">
      <c r="A51" s="35"/>
      <c r="B51" s="35"/>
      <c r="C51" s="35"/>
      <c r="D51" s="35"/>
      <c r="E51" s="35"/>
    </row>
    <row r="52" spans="1:5" ht="15">
      <c r="A52" s="35"/>
      <c r="B52" s="35"/>
      <c r="C52" s="49"/>
      <c r="D52" s="35"/>
      <c r="E52" s="35"/>
    </row>
    <row r="53" spans="1:5" ht="15">
      <c r="A53" s="35"/>
      <c r="B53" s="35"/>
      <c r="C53" s="49"/>
      <c r="D53" s="35"/>
      <c r="E53" s="35"/>
    </row>
    <row r="54" spans="1:5" ht="15">
      <c r="A54" s="35"/>
      <c r="B54" s="35"/>
      <c r="C54" s="49"/>
      <c r="D54" s="35"/>
      <c r="E54" s="35"/>
    </row>
    <row r="55" spans="1:5" ht="15">
      <c r="A55" s="35"/>
      <c r="B55" s="35"/>
      <c r="C55" s="35"/>
      <c r="D55" s="35"/>
      <c r="E55" s="35"/>
    </row>
    <row r="56" spans="1:5" ht="15">
      <c r="A56" s="35"/>
      <c r="B56" s="35"/>
      <c r="C56" s="35"/>
      <c r="D56" s="35"/>
      <c r="E56" s="35"/>
    </row>
  </sheetData>
  <phoneticPr fontId="0" type="noConversion"/>
  <pageMargins left="0.47" right="0.47" top="0.25" bottom="0.25" header="0" footer="0"/>
  <pageSetup scale="80" orientation="landscape" horizontalDpi="4294967293" verticalDpi="4294967293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Margaret Grierson</cp:lastModifiedBy>
  <cp:lastPrinted>2016-10-09T12:33:35Z</cp:lastPrinted>
  <dcterms:created xsi:type="dcterms:W3CDTF">2009-09-27T18:58:18Z</dcterms:created>
  <dcterms:modified xsi:type="dcterms:W3CDTF">2016-10-09T12:38:35Z</dcterms:modified>
</cp:coreProperties>
</file>