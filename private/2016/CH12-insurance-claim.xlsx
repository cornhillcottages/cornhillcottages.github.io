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6405"/>
  <workbookPr filterPrivacy="1" autoCompressPictures="0"/>
  <bookViews>
    <workbookView xWindow="0" yWindow="0" windowWidth="25600" windowHeight="16060"/>
  </bookViews>
  <sheets>
    <sheet name="Sheet1" sheetId="1" r:id="rId1"/>
    <sheet name="Sheet2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9" i="1" l="1"/>
  <c r="F13" i="1"/>
</calcChain>
</file>

<file path=xl/sharedStrings.xml><?xml version="1.0" encoding="utf-8"?>
<sst xmlns="http://schemas.openxmlformats.org/spreadsheetml/2006/main" count="12" uniqueCount="12">
  <si>
    <t>Bills paid</t>
  </si>
  <si>
    <t>1.  Shirley Wright : Reimbursement for repairs</t>
  </si>
  <si>
    <t xml:space="preserve">3.  Emergency Contractors: emergency service repairs </t>
  </si>
  <si>
    <r>
      <t xml:space="preserve">2.  Peter's Property :  </t>
    </r>
    <r>
      <rPr>
        <i/>
        <sz val="12"/>
        <color theme="1"/>
        <rFont val="Calibri"/>
        <scheme val="minor"/>
      </rPr>
      <t>4/6-4/8:discovery,emergency shut off,on-site mgt.,,etc)</t>
    </r>
  </si>
  <si>
    <r>
      <t xml:space="preserve">4.  Peters Property: </t>
    </r>
    <r>
      <rPr>
        <i/>
        <sz val="12"/>
        <color theme="1"/>
        <rFont val="Calibri"/>
        <scheme val="minor"/>
      </rPr>
      <t xml:space="preserve"> </t>
    </r>
    <r>
      <rPr>
        <i/>
        <sz val="10"/>
        <color theme="1"/>
        <rFont val="Calibri"/>
        <family val="2"/>
        <scheme val="minor"/>
      </rPr>
      <t>Coord. &amp; oversight:initial clean up &amp; demo w/Emer. Cont.,plumber, reconstruction &amp; painting.</t>
    </r>
  </si>
  <si>
    <r>
      <t xml:space="preserve">                                                    </t>
    </r>
    <r>
      <rPr>
        <b/>
        <sz val="20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scheme val="minor"/>
      </rPr>
      <t xml:space="preserve">  Total payments </t>
    </r>
  </si>
  <si>
    <t xml:space="preserve">                            Insurance  monies received</t>
  </si>
  <si>
    <t>*Loss incurred after insurance payout</t>
  </si>
  <si>
    <t xml:space="preserve">Notes:  </t>
  </si>
  <si>
    <t>* 5,000 insurance claim deductible</t>
  </si>
  <si>
    <t>*$2,374.59 in "hold back" insurance monies to be received later from insurance</t>
  </si>
  <si>
    <t>*Other claims submitted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</si>
</sst>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&quot;$&quot;* #,##0.00_);_(&quot;$&quot;* \(#,##0.00\);_(&quot;$&quot;* &quot;-&quot;??_);_(@_)"/>
    <numFmt numFmtId="165" formatCode="&quot;$&quot;#,##0"/>
    <numFmt numFmtId="166" formatCode="&quot;$&quot;#,##0.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name val="Franklin Gothic Book"/>
    </font>
    <font>
      <sz val="14"/>
      <name val="Franklin Gothic Book"/>
    </font>
    <font>
      <b/>
      <sz val="14"/>
      <name val="Franklin Gothic Book"/>
    </font>
    <font>
      <i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i/>
      <sz val="12"/>
      <color theme="1"/>
      <name val="Calibri"/>
      <scheme val="minor"/>
    </font>
    <font>
      <sz val="14"/>
      <color theme="1"/>
      <name val="Calibri"/>
      <scheme val="minor"/>
    </font>
    <font>
      <b/>
      <sz val="16"/>
      <color theme="1"/>
      <name val="Calibri"/>
      <scheme val="minor"/>
    </font>
    <font>
      <b/>
      <sz val="16"/>
      <name val="Franklin Gothic Book"/>
    </font>
    <font>
      <b/>
      <sz val="18"/>
      <color theme="1"/>
      <name val="Calibri"/>
      <scheme val="minor"/>
    </font>
    <font>
      <b/>
      <sz val="18"/>
      <name val="Franklin Gothic Book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/>
      <bottom style="thin">
        <color indexed="22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</borders>
  <cellStyleXfs count="20">
    <xf numFmtId="0" fontId="0" fillId="0" borderId="0"/>
    <xf numFmtId="164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165" fontId="3" fillId="0" borderId="1" xfId="0" applyNumberFormat="1" applyFont="1" applyFill="1" applyBorder="1" applyAlignment="1" applyProtection="1">
      <alignment horizontal="center"/>
      <protection locked="0"/>
    </xf>
    <xf numFmtId="165" fontId="3" fillId="0" borderId="3" xfId="0" applyNumberFormat="1" applyFont="1" applyFill="1" applyBorder="1" applyAlignment="1" applyProtection="1">
      <alignment horizontal="center"/>
      <protection locked="0"/>
    </xf>
    <xf numFmtId="0" fontId="9" fillId="0" borderId="0" xfId="0" applyFont="1"/>
    <xf numFmtId="0" fontId="13" fillId="0" borderId="0" xfId="0" applyFont="1"/>
    <xf numFmtId="165" fontId="5" fillId="0" borderId="0" xfId="1" applyNumberFormat="1" applyFont="1" applyFill="1" applyBorder="1" applyAlignment="1" applyProtection="1">
      <alignment horizontal="center"/>
      <protection locked="0"/>
    </xf>
    <xf numFmtId="0" fontId="14" fillId="0" borderId="0" xfId="0" applyFont="1"/>
    <xf numFmtId="0" fontId="15" fillId="0" borderId="0" xfId="0" applyFont="1"/>
    <xf numFmtId="166" fontId="4" fillId="0" borderId="1" xfId="1" applyNumberFormat="1" applyFont="1" applyFill="1" applyBorder="1" applyAlignment="1" applyProtection="1">
      <alignment horizontal="center"/>
      <protection locked="0"/>
    </xf>
    <xf numFmtId="166" fontId="4" fillId="0" borderId="3" xfId="1" applyNumberFormat="1" applyFont="1" applyFill="1" applyBorder="1" applyAlignment="1" applyProtection="1">
      <alignment horizontal="center"/>
      <protection locked="0"/>
    </xf>
    <xf numFmtId="0" fontId="17" fillId="0" borderId="0" xfId="0" applyFont="1"/>
    <xf numFmtId="166" fontId="19" fillId="0" borderId="2" xfId="1" applyNumberFormat="1" applyFont="1" applyFill="1" applyBorder="1" applyAlignment="1" applyProtection="1">
      <alignment horizontal="center"/>
      <protection locked="0"/>
    </xf>
    <xf numFmtId="166" fontId="19" fillId="0" borderId="0" xfId="1" applyNumberFormat="1" applyFont="1" applyFill="1" applyBorder="1" applyAlignment="1" applyProtection="1">
      <alignment horizontal="center"/>
      <protection locked="0"/>
    </xf>
    <xf numFmtId="0" fontId="20" fillId="0" borderId="0" xfId="0" applyFont="1"/>
    <xf numFmtId="165" fontId="21" fillId="0" borderId="0" xfId="1" applyNumberFormat="1" applyFont="1" applyFill="1" applyBorder="1" applyAlignment="1" applyProtection="1">
      <alignment horizontal="center"/>
      <protection locked="0"/>
    </xf>
  </cellXfs>
  <cellStyles count="20">
    <cellStyle name="Currency" xfId="1" builtinId="4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0"/>
  <sheetViews>
    <sheetView showGridLines="0" tabSelected="1" showRuler="0" showWhiteSpace="0" view="pageLayout" workbookViewId="0">
      <selection activeCell="A19" sqref="A19:A21"/>
    </sheetView>
  </sheetViews>
  <sheetFormatPr baseColWidth="10" defaultColWidth="8.83203125" defaultRowHeight="14" x14ac:dyDescent="0"/>
  <cols>
    <col min="5" max="5" width="50.6640625" customWidth="1"/>
    <col min="6" max="6" width="24.33203125" customWidth="1"/>
    <col min="7" max="7" width="10.1640625" customWidth="1"/>
    <col min="11" max="11" width="15.33203125" customWidth="1"/>
  </cols>
  <sheetData>
    <row r="3" spans="1:10" ht="18">
      <c r="F3" s="3" t="s">
        <v>0</v>
      </c>
    </row>
    <row r="4" spans="1:10" ht="25">
      <c r="A4" s="3" t="s">
        <v>1</v>
      </c>
      <c r="B4" s="4"/>
      <c r="C4" s="4"/>
      <c r="D4" s="4"/>
      <c r="E4" s="4"/>
      <c r="F4" s="12">
        <v>12312.62</v>
      </c>
      <c r="G4" s="5"/>
      <c r="H4" s="8"/>
      <c r="J4" s="1"/>
    </row>
    <row r="5" spans="1:10" ht="25">
      <c r="A5" s="3" t="s">
        <v>3</v>
      </c>
      <c r="B5" s="3"/>
      <c r="C5" s="3"/>
      <c r="D5" s="3"/>
      <c r="E5" s="3"/>
      <c r="F5" s="13">
        <v>607.5</v>
      </c>
      <c r="G5" s="6"/>
      <c r="H5" s="2"/>
      <c r="I5" s="2"/>
      <c r="J5" s="1"/>
    </row>
    <row r="6" spans="1:10" ht="25">
      <c r="A6" s="3" t="s">
        <v>2</v>
      </c>
      <c r="B6" s="3"/>
      <c r="C6" s="3"/>
      <c r="D6" s="3"/>
      <c r="E6" s="3"/>
      <c r="F6" s="13">
        <v>1898.74</v>
      </c>
      <c r="G6" s="6"/>
      <c r="H6" s="2"/>
      <c r="I6" s="2"/>
      <c r="J6" s="1"/>
    </row>
    <row r="7" spans="1:10" ht="25">
      <c r="A7" s="3" t="s">
        <v>4</v>
      </c>
      <c r="B7" s="3"/>
      <c r="C7" s="3"/>
      <c r="D7" s="3"/>
      <c r="E7" s="3"/>
      <c r="F7" s="13">
        <v>2000</v>
      </c>
      <c r="G7" s="6"/>
      <c r="H7" s="2"/>
      <c r="I7" s="2"/>
      <c r="J7" s="1"/>
    </row>
    <row r="8" spans="1:10" ht="25">
      <c r="A8" s="1"/>
      <c r="B8" s="1"/>
      <c r="C8" s="1"/>
      <c r="D8" s="1"/>
      <c r="E8" s="1"/>
      <c r="F8" s="13"/>
      <c r="G8" s="1"/>
      <c r="H8" s="1"/>
      <c r="I8" s="1"/>
      <c r="J8" s="1"/>
    </row>
    <row r="9" spans="1:10" ht="26" thickBot="1">
      <c r="A9" s="1"/>
      <c r="B9" s="1"/>
      <c r="C9" s="1" t="s">
        <v>5</v>
      </c>
      <c r="D9" s="1"/>
      <c r="E9" s="14"/>
      <c r="F9" s="15">
        <f>SUM(F4:F7)</f>
        <v>16818.86</v>
      </c>
      <c r="G9" s="1"/>
      <c r="H9" s="1"/>
      <c r="I9" s="1"/>
      <c r="J9" s="1"/>
    </row>
    <row r="10" spans="1:10" ht="25">
      <c r="A10" s="1"/>
      <c r="B10" s="1"/>
      <c r="C10" s="1"/>
      <c r="D10" s="1"/>
      <c r="E10" s="14"/>
      <c r="F10" s="16"/>
      <c r="G10" s="1"/>
      <c r="H10" s="1"/>
      <c r="I10" s="1"/>
      <c r="J10" s="1"/>
    </row>
    <row r="11" spans="1:10" ht="25">
      <c r="A11" s="1"/>
      <c r="B11" s="1"/>
      <c r="C11" s="1"/>
      <c r="D11" s="1"/>
      <c r="E11" s="3" t="s">
        <v>6</v>
      </c>
      <c r="F11" s="16">
        <v>12723.03</v>
      </c>
      <c r="G11" s="1"/>
      <c r="H11" s="1"/>
      <c r="I11" s="1"/>
      <c r="J11" s="1"/>
    </row>
    <row r="12" spans="1:10" ht="25">
      <c r="A12" s="1"/>
      <c r="B12" s="1"/>
      <c r="C12" s="1"/>
      <c r="D12" s="1"/>
      <c r="E12" s="14"/>
      <c r="F12" s="9"/>
      <c r="G12" s="1"/>
      <c r="H12" s="1"/>
      <c r="I12" s="1"/>
      <c r="J12" s="1"/>
    </row>
    <row r="13" spans="1:10" ht="25">
      <c r="A13" s="1"/>
      <c r="B13" s="1"/>
      <c r="C13" s="1"/>
      <c r="D13" s="1"/>
      <c r="E13" s="17" t="s">
        <v>7</v>
      </c>
      <c r="F13" s="18">
        <f>SUM(F11-F9)</f>
        <v>-4095.83</v>
      </c>
      <c r="G13" s="1"/>
      <c r="H13" s="1"/>
      <c r="I13" s="1"/>
      <c r="J13" s="1"/>
    </row>
    <row r="14" spans="1:10" ht="25">
      <c r="A14" s="1"/>
      <c r="B14" s="1"/>
      <c r="C14" s="1"/>
      <c r="D14" s="1"/>
      <c r="E14" s="17"/>
      <c r="F14" s="18"/>
      <c r="G14" s="1"/>
      <c r="H14" s="1"/>
      <c r="I14" s="1"/>
      <c r="J14" s="1"/>
    </row>
    <row r="15" spans="1:10" ht="25">
      <c r="A15" s="10" t="s">
        <v>8</v>
      </c>
      <c r="B15" s="1"/>
      <c r="C15" s="1"/>
      <c r="D15" s="1"/>
      <c r="E15" s="1"/>
      <c r="F15" s="1"/>
      <c r="G15" s="1"/>
      <c r="H15" s="1"/>
      <c r="I15" s="1"/>
      <c r="J15" s="1"/>
    </row>
    <row r="16" spans="1:10" ht="25">
      <c r="A16" s="10" t="s">
        <v>9</v>
      </c>
      <c r="B16" s="1"/>
      <c r="C16" s="1"/>
      <c r="D16" s="1"/>
      <c r="E16" s="1"/>
      <c r="F16" s="1"/>
      <c r="G16" s="1"/>
      <c r="H16" s="1"/>
      <c r="I16" s="1"/>
      <c r="J16" s="1"/>
    </row>
    <row r="17" spans="1:11" ht="25">
      <c r="A17" s="10" t="s">
        <v>10</v>
      </c>
      <c r="B17" s="1"/>
      <c r="C17" s="1"/>
      <c r="D17" s="1"/>
      <c r="E17" s="1"/>
      <c r="F17" s="1"/>
      <c r="G17" s="1"/>
      <c r="H17" s="1"/>
      <c r="I17" s="1"/>
      <c r="J17" s="1"/>
    </row>
    <row r="18" spans="1:11" ht="25">
      <c r="A18" s="10" t="s">
        <v>11</v>
      </c>
      <c r="B18" s="1"/>
      <c r="C18" s="1"/>
      <c r="D18" s="1"/>
      <c r="E18" s="1"/>
      <c r="F18" s="1"/>
      <c r="G18" s="1"/>
      <c r="H18" s="1"/>
      <c r="I18" s="1"/>
      <c r="J18" s="1"/>
    </row>
    <row r="19" spans="1:11" ht="25">
      <c r="A19" s="7"/>
      <c r="B19" s="11"/>
      <c r="C19" s="11"/>
      <c r="D19" s="11"/>
      <c r="E19" s="11"/>
      <c r="F19" s="11"/>
      <c r="G19" s="11"/>
      <c r="H19" s="11"/>
      <c r="I19" s="11"/>
      <c r="J19" s="11"/>
      <c r="K19" s="7"/>
    </row>
    <row r="20" spans="1:11" ht="25">
      <c r="F20" s="1"/>
    </row>
  </sheetData>
  <phoneticPr fontId="10" type="noConversion"/>
  <pageMargins left="0.25" right="0" top="0.75" bottom="0.75" header="0.3" footer="0.3"/>
  <pageSetup orientation="landscape" horizontalDpi="300" verticalDpi="300"/>
  <headerFooter>
    <oddHeader>&amp;C&amp;"Calibri,Regular"&amp;20&amp;K000000CORN HILL COTTAGES                Unit #12  /  Wright_x000D_ Insurance Claim_x000D_</oddHeader>
  </headerFooter>
  <extLst>
    <ext xmlns:mx="http://schemas.microsoft.com/office/mac/excel/2008/main" uri="{64002731-A6B0-56B0-2670-7721B7C09600}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Ruler="0"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Ruler="0"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Printed>2016-10-07T12:32:01Z</cp:lastPrinted>
  <dcterms:created xsi:type="dcterms:W3CDTF">2006-09-16T00:00:00Z</dcterms:created>
  <dcterms:modified xsi:type="dcterms:W3CDTF">2016-10-07T12:42:26Z</dcterms:modified>
</cp:coreProperties>
</file>