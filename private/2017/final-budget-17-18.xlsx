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lbowma01\Documents\CHCCA 2017\Budget\FY 2018 Final Budget\"/>
    </mc:Choice>
  </mc:AlternateContent>
  <bookViews>
    <workbookView xWindow="0" yWindow="0" windowWidth="20160" windowHeight="8988"/>
  </bookViews>
  <sheets>
    <sheet name="Sheet1" sheetId="1" r:id="rId1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" i="1" l="1"/>
  <c r="D26" i="1"/>
  <c r="D33" i="1"/>
  <c r="D5" i="1"/>
  <c r="F29" i="1"/>
  <c r="F4" i="1"/>
  <c r="E33" i="1"/>
  <c r="E26" i="1"/>
  <c r="E14" i="1"/>
  <c r="F11" i="1"/>
  <c r="F12" i="1"/>
  <c r="F13" i="1"/>
  <c r="B14" i="1"/>
  <c r="D14" i="1"/>
  <c r="F17" i="1"/>
  <c r="F18" i="1"/>
  <c r="F20" i="1"/>
  <c r="F21" i="1"/>
  <c r="F22" i="1"/>
  <c r="F23" i="1"/>
  <c r="F24" i="1"/>
  <c r="F25" i="1"/>
  <c r="B26" i="1"/>
  <c r="F26" i="1"/>
  <c r="F28" i="1"/>
  <c r="F30" i="1"/>
  <c r="F31" i="1"/>
  <c r="F32" i="1"/>
  <c r="B33" i="1"/>
  <c r="B5" i="1"/>
  <c r="B6" i="1"/>
  <c r="F33" i="1"/>
  <c r="D6" i="1"/>
  <c r="F6" i="1"/>
  <c r="F5" i="1"/>
  <c r="F14" i="1"/>
</calcChain>
</file>

<file path=xl/sharedStrings.xml><?xml version="1.0" encoding="utf-8"?>
<sst xmlns="http://schemas.openxmlformats.org/spreadsheetml/2006/main" count="84" uniqueCount="82">
  <si>
    <t>Over/Under</t>
  </si>
  <si>
    <t xml:space="preserve"> Total income</t>
  </si>
  <si>
    <t xml:space="preserve"> Total expenses</t>
  </si>
  <si>
    <t xml:space="preserve"> Income less expenses</t>
  </si>
  <si>
    <t>Income</t>
  </si>
  <si>
    <t>Condo fees</t>
  </si>
  <si>
    <t>Interest</t>
  </si>
  <si>
    <t>Other</t>
  </si>
  <si>
    <t>Total income</t>
  </si>
  <si>
    <t>Fixed Expenses</t>
  </si>
  <si>
    <t>Property Mgt: Trash Pick Up</t>
  </si>
  <si>
    <t>Insurance</t>
  </si>
  <si>
    <t>Accounting:Bookkeeping</t>
  </si>
  <si>
    <t>Utilities: Electric</t>
  </si>
  <si>
    <t>Utilities: Gas</t>
  </si>
  <si>
    <t>Utilities: Water Sampling</t>
  </si>
  <si>
    <t>Total fixed expenses</t>
  </si>
  <si>
    <t>Variable Expenses</t>
  </si>
  <si>
    <t>Total variable expenses</t>
  </si>
  <si>
    <t>(Total Qtly $15,390  /  Total Annually $61,560)</t>
  </si>
  <si>
    <t>a) Pre-approval of all special projects</t>
  </si>
  <si>
    <t>(To be paid: Oct., Jan., April, July)</t>
  </si>
  <si>
    <t xml:space="preserve">Unit 12               6.9%    $1061   </t>
  </si>
  <si>
    <t>Special Projects: proposed</t>
  </si>
  <si>
    <t>&amp; trustees based on priority, cash flow, emergency, necessity, etc</t>
  </si>
  <si>
    <t>Contributions :Truro Rescue, other</t>
  </si>
  <si>
    <t xml:space="preserve">Notes   </t>
  </si>
  <si>
    <t xml:space="preserve">b) continued timely payments of condo fees  </t>
  </si>
  <si>
    <t xml:space="preserve">*All potential Special Projects/Repairs are on approval basis by Lynn </t>
  </si>
  <si>
    <t>Pr. Mgt: Extra repairs: elec.,plumbing</t>
  </si>
  <si>
    <r>
      <rPr>
        <b/>
        <sz val="16"/>
        <color indexed="9"/>
        <rFont val="Tempus Sans ITC"/>
      </rPr>
      <t>CORN HILL CONDO ASSOC</t>
    </r>
    <r>
      <rPr>
        <i/>
        <sz val="16"/>
        <color indexed="9"/>
        <rFont val="Tempus Sans ITC"/>
      </rPr>
      <t xml:space="preserve">    Proposed  Budget  </t>
    </r>
    <r>
      <rPr>
        <b/>
        <i/>
        <sz val="14"/>
        <color indexed="9"/>
        <rFont val="Tempus Sans ITC"/>
      </rPr>
      <t xml:space="preserve"> for 10/1/17 thru 9/30/18</t>
    </r>
    <r>
      <rPr>
        <i/>
        <sz val="16"/>
        <color indexed="9"/>
        <rFont val="Tempus Sans ITC"/>
      </rPr>
      <t xml:space="preserve">     &amp;   Review </t>
    </r>
    <r>
      <rPr>
        <i/>
        <sz val="14"/>
        <color indexed="9"/>
        <rFont val="Tempus Sans ITC"/>
      </rPr>
      <t>of 10/1/16 - 9/30/17</t>
    </r>
  </si>
  <si>
    <t xml:space="preserve"> Oct.  '17 - Sept  '18</t>
  </si>
  <si>
    <t xml:space="preserve"> actual '16-'17</t>
  </si>
  <si>
    <t>proj. '16-'17</t>
  </si>
  <si>
    <t xml:space="preserve">                                                                   </t>
  </si>
  <si>
    <t xml:space="preserve"> No raise in Condo fees.   Continue the following: </t>
  </si>
  <si>
    <r>
      <t>17 - '18 Proposed Special Projects</t>
    </r>
    <r>
      <rPr>
        <b/>
        <sz val="10"/>
        <rFont val="Tempus Sans ITC"/>
      </rPr>
      <t xml:space="preserve">                </t>
    </r>
    <r>
      <rPr>
        <b/>
        <sz val="9"/>
        <rFont val="Tempus Sans ITC"/>
      </rPr>
      <t xml:space="preserve">                                              </t>
    </r>
  </si>
  <si>
    <t>INSURANCE NOTES</t>
  </si>
  <si>
    <t xml:space="preserve"> Quarterly Condo Fees '17 - '18</t>
  </si>
  <si>
    <t xml:space="preserve">10% increase over past year                  </t>
  </si>
  <si>
    <t xml:space="preserve">10% increase over past year             </t>
  </si>
  <si>
    <r>
      <t xml:space="preserve">10% increase over past year                  </t>
    </r>
    <r>
      <rPr>
        <i/>
        <sz val="9"/>
        <rFont val="Tempus Sans ITC"/>
      </rPr>
      <t xml:space="preserve">   </t>
    </r>
  </si>
  <si>
    <r>
      <t>Property Mgt:</t>
    </r>
    <r>
      <rPr>
        <sz val="10"/>
        <rFont val="Tempus Sans ITC"/>
      </rPr>
      <t>inspections, maintainance</t>
    </r>
  </si>
  <si>
    <r>
      <t xml:space="preserve">Past fines: not in budget =  $1,875    /               </t>
    </r>
    <r>
      <rPr>
        <b/>
        <i/>
        <sz val="9"/>
        <rFont val="Tempus Sans ITC"/>
      </rPr>
      <t>awaiting 1 condo fee</t>
    </r>
  </si>
  <si>
    <t xml:space="preserve">                                                                   /     collected past fines of $2,075</t>
  </si>
  <si>
    <r>
      <rPr>
        <b/>
        <sz val="9"/>
        <rFont val="Tempus Sans ITC"/>
      </rPr>
      <t>5% inc. / Peter's Mgt</t>
    </r>
    <r>
      <rPr>
        <b/>
        <sz val="8"/>
        <rFont val="Tempus Sans ITC"/>
      </rPr>
      <t>:</t>
    </r>
    <r>
      <rPr>
        <sz val="8"/>
        <rFont val="Tempus Sans ITC"/>
      </rPr>
      <t>Inspec.,opening&amp;closing, emer calls, routine maint.,etc.</t>
    </r>
  </si>
  <si>
    <r>
      <t xml:space="preserve">                                                            </t>
    </r>
    <r>
      <rPr>
        <b/>
        <i/>
        <sz val="9"/>
        <rFont val="Arial"/>
      </rPr>
      <t>/                       $3,000 septic repair</t>
    </r>
  </si>
  <si>
    <t xml:space="preserve">                                                                /                   extra summer pick ups</t>
  </si>
  <si>
    <t>This eliminates us paying any finance</t>
  </si>
  <si>
    <r>
      <rPr>
        <sz val="12"/>
        <rFont val="Arial"/>
      </rPr>
      <t xml:space="preserve">Total Cash Accts as of: 9/30/17: $43,937 (checking $3,260/ reserve $40,677)  </t>
    </r>
    <r>
      <rPr>
        <sz val="11"/>
        <rFont val="Arial"/>
        <family val="2"/>
      </rPr>
      <t xml:space="preserve">                /</t>
    </r>
    <r>
      <rPr>
        <sz val="8"/>
        <rFont val="Arial"/>
      </rPr>
      <t xml:space="preserve">                  Five years ago... 2012 total  $22,273                                         </t>
    </r>
  </si>
  <si>
    <t xml:space="preserve">* Total amount, paid ahead and in full, for  </t>
  </si>
  <si>
    <t>insurances for Aug '17 - Aug '18 was $15,655.</t>
  </si>
  <si>
    <t>installment charges as we have  in past years.</t>
  </si>
  <si>
    <t>comfortably do this year</t>
  </si>
  <si>
    <t xml:space="preserve">Discussed in past as a goal that we were able to </t>
  </si>
  <si>
    <t>** 6th straight year of no increases to Condo fees</t>
  </si>
  <si>
    <t>while simultaneously increasing our reserve.</t>
  </si>
  <si>
    <t>Pr. Mgt: Septic :cleaning &amp; inspections</t>
  </si>
  <si>
    <t>To be done every other year</t>
  </si>
  <si>
    <t xml:space="preserve">Miscellaneous: fire extiguishers &amp; </t>
  </si>
  <si>
    <t>inspections; postage, other misc expenses</t>
  </si>
  <si>
    <t>**Note: future yrs only inspections much less</t>
  </si>
  <si>
    <r>
      <rPr>
        <b/>
        <i/>
        <sz val="8"/>
        <rFont val="Arial"/>
      </rPr>
      <t xml:space="preserve">                                                                     * pmts shown here thru 'Sept '17(see *Note)</t>
    </r>
  </si>
  <si>
    <t>Summary      Updated 10/9/17</t>
  </si>
  <si>
    <r>
      <rPr>
        <sz val="12"/>
        <rFont val="Arial"/>
      </rPr>
      <t>1)</t>
    </r>
    <r>
      <rPr>
        <sz val="11"/>
        <rFont val="Arial"/>
        <family val="2"/>
      </rPr>
      <t xml:space="preserve"> Road Repair: 2nd Landing way/CHCCA portion  </t>
    </r>
    <r>
      <rPr>
        <sz val="12"/>
        <rFont val="Arial"/>
      </rPr>
      <t xml:space="preserve">    1,000</t>
    </r>
    <r>
      <rPr>
        <sz val="11"/>
        <rFont val="Arial"/>
        <family val="2"/>
      </rPr>
      <t xml:space="preserve">                                                                   1,000</t>
    </r>
  </si>
  <si>
    <t>2) Dune grass, rose ragosa etc plantings              1,500</t>
  </si>
  <si>
    <t>3) Signs: "Keep off dunes/poison ivy" etc                 500</t>
  </si>
  <si>
    <t>4) Parking Area: Timbers                                          500</t>
  </si>
  <si>
    <t>5) Storage room shelving                                       1,000</t>
  </si>
  <si>
    <t xml:space="preserve">6) Trash barrel  replacement                                     500 </t>
  </si>
  <si>
    <t xml:space="preserve">7) Parking Area: shell replenish                                500 </t>
  </si>
  <si>
    <t xml:space="preserve">8) Further Timber placement                                  1,000 </t>
  </si>
  <si>
    <t>9) Dead tree removal                                                500</t>
  </si>
  <si>
    <t>10) Misc                                                                    500</t>
  </si>
  <si>
    <t>Unit 12/2nd Ld   10.7%   $1646</t>
  </si>
  <si>
    <t>Unit 8/2nd Ld     10.7%   $1646</t>
  </si>
  <si>
    <t>Unit 19                12.5%   $1924</t>
  </si>
  <si>
    <t xml:space="preserve">Unit 10/2nd Ld    9.4%    $1446  </t>
  </si>
  <si>
    <t>Unit   5                 8.2%    $1263</t>
  </si>
  <si>
    <t>Unit 18               3.8%     $584</t>
  </si>
  <si>
    <t xml:space="preserve">Units 9,10,11     6.3%     $970                     </t>
  </si>
  <si>
    <t xml:space="preserve">Units 6,7,8         6.3%     $970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</si>
</sst>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_);\(&quot;$&quot;#,##0\)"/>
    <numFmt numFmtId="7" formatCode="&quot;$&quot;#,##0.00_);\(&quot;$&quot;#,##0.00\)"/>
  </numFmts>
  <fonts count="55">
    <font>
      <sz val="10"/>
      <name val="Arial"/>
    </font>
    <font>
      <sz val="10"/>
      <name val="Arial"/>
    </font>
    <font>
      <sz val="9"/>
      <name val="Tahoma"/>
      <family val="2"/>
    </font>
    <font>
      <i/>
      <sz val="9"/>
      <color indexed="10"/>
      <name val="Tahoma"/>
      <family val="2"/>
    </font>
    <font>
      <sz val="24"/>
      <color indexed="9"/>
      <name val="Tempus Sans ITC"/>
    </font>
    <font>
      <sz val="8"/>
      <name val="Tempus Sans ITC"/>
    </font>
    <font>
      <sz val="9"/>
      <color indexed="9"/>
      <name val="Tempus Sans ITC"/>
    </font>
    <font>
      <b/>
      <sz val="8"/>
      <color indexed="9"/>
      <name val="Tempus Sans ITC"/>
    </font>
    <font>
      <b/>
      <sz val="8"/>
      <name val="Tempus Sans ITC"/>
    </font>
    <font>
      <sz val="8"/>
      <name val="Tahoma"/>
      <family val="2"/>
    </font>
    <font>
      <sz val="9"/>
      <color indexed="13"/>
      <name val="Franklin Gothic Demi"/>
    </font>
    <font>
      <sz val="12"/>
      <color indexed="9"/>
      <name val="Tempus Sans ITC"/>
    </font>
    <font>
      <b/>
      <sz val="10"/>
      <color indexed="12"/>
      <name val="Arial"/>
      <family val="2"/>
    </font>
    <font>
      <sz val="10"/>
      <color indexed="11"/>
      <name val="Arial"/>
      <family val="2"/>
    </font>
    <font>
      <b/>
      <i/>
      <sz val="10"/>
      <color indexed="12"/>
      <name val="Tahoma"/>
      <family val="2"/>
    </font>
    <font>
      <sz val="10"/>
      <name val="Arial"/>
    </font>
    <font>
      <b/>
      <u/>
      <sz val="12"/>
      <name val="Britannic Bold"/>
    </font>
    <font>
      <b/>
      <sz val="12"/>
      <name val="Arial"/>
      <family val="2"/>
    </font>
    <font>
      <i/>
      <sz val="16"/>
      <color indexed="9"/>
      <name val="Tempus Sans ITC"/>
    </font>
    <font>
      <b/>
      <sz val="12"/>
      <color indexed="17"/>
      <name val="Tempus Sans ITC"/>
    </font>
    <font>
      <sz val="12"/>
      <name val="Arial"/>
    </font>
    <font>
      <sz val="12"/>
      <name val="Tempus Sans ITC"/>
    </font>
    <font>
      <sz val="12"/>
      <name val="Franklin Gothic Book"/>
    </font>
    <font>
      <b/>
      <sz val="12"/>
      <name val="Tempus Sans ITC"/>
    </font>
    <font>
      <b/>
      <sz val="12"/>
      <name val="Franklin Gothic Book"/>
    </font>
    <font>
      <b/>
      <i/>
      <sz val="12"/>
      <name val="Arial"/>
      <family val="2"/>
    </font>
    <font>
      <i/>
      <sz val="12"/>
      <color indexed="10"/>
      <name val="Franklin Gothic Demi"/>
    </font>
    <font>
      <i/>
      <sz val="12"/>
      <name val="Arial"/>
      <family val="2"/>
    </font>
    <font>
      <sz val="12"/>
      <name val="Franklin Gothic Demi"/>
    </font>
    <font>
      <b/>
      <sz val="12"/>
      <color indexed="9"/>
      <name val="Tempus Sans ITC"/>
    </font>
    <font>
      <b/>
      <i/>
      <sz val="12"/>
      <name val="Tempus Sans ITC"/>
    </font>
    <font>
      <sz val="12"/>
      <name val="Tahoma"/>
      <family val="2"/>
    </font>
    <font>
      <sz val="12"/>
      <name val="Century Gothic"/>
      <family val="2"/>
    </font>
    <font>
      <sz val="12"/>
      <color indexed="11"/>
      <name val="Franklin Gothic Demi"/>
    </font>
    <font>
      <sz val="12"/>
      <color indexed="11"/>
      <name val="Arial"/>
      <family val="2"/>
    </font>
    <font>
      <sz val="11"/>
      <name val="Tempus Sans ITC"/>
    </font>
    <font>
      <b/>
      <sz val="11"/>
      <color indexed="17"/>
      <name val="Tempus Sans ITC"/>
    </font>
    <font>
      <sz val="11"/>
      <name val="Arial"/>
      <family val="2"/>
    </font>
    <font>
      <i/>
      <sz val="9"/>
      <name val="Tempus Sans ITC"/>
    </font>
    <font>
      <b/>
      <sz val="10"/>
      <name val="Tempus Sans ITC"/>
    </font>
    <font>
      <u/>
      <sz val="10"/>
      <color theme="10"/>
      <name val="Arial"/>
    </font>
    <font>
      <u/>
      <sz val="10"/>
      <color theme="11"/>
      <name val="Arial"/>
    </font>
    <font>
      <b/>
      <i/>
      <sz val="10"/>
      <name val="Arial"/>
    </font>
    <font>
      <b/>
      <i/>
      <sz val="14"/>
      <color indexed="9"/>
      <name val="Tempus Sans ITC"/>
    </font>
    <font>
      <b/>
      <sz val="16"/>
      <color indexed="9"/>
      <name val="Tempus Sans ITC"/>
    </font>
    <font>
      <i/>
      <sz val="14"/>
      <color indexed="9"/>
      <name val="Tempus Sans ITC"/>
    </font>
    <font>
      <sz val="10"/>
      <name val="Tempus Sans ITC"/>
    </font>
    <font>
      <b/>
      <sz val="9"/>
      <name val="Tempus Sans ITC"/>
    </font>
    <font>
      <b/>
      <i/>
      <sz val="9"/>
      <name val="Arial"/>
    </font>
    <font>
      <sz val="8"/>
      <name val="Arial"/>
    </font>
    <font>
      <i/>
      <sz val="10"/>
      <name val="Arial"/>
    </font>
    <font>
      <b/>
      <i/>
      <sz val="9"/>
      <name val="Tempus Sans ITC"/>
    </font>
    <font>
      <b/>
      <sz val="12"/>
      <name val="Arial Baltic"/>
    </font>
    <font>
      <b/>
      <i/>
      <sz val="8"/>
      <name val="Arial"/>
    </font>
    <font>
      <sz val="9"/>
      <name val="Tempus Sans ITC"/>
    </font>
  </fonts>
  <fills count="5">
    <fill>
      <patternFill patternType="none"/>
    </fill>
    <fill>
      <patternFill patternType="gray125"/>
    </fill>
    <fill>
      <patternFill patternType="solid">
        <fgColor indexed="17"/>
        <bgColor indexed="9"/>
      </patternFill>
    </fill>
    <fill>
      <patternFill patternType="solid">
        <fgColor indexed="17"/>
        <bgColor indexed="17"/>
      </patternFill>
    </fill>
    <fill>
      <patternFill patternType="gray125">
        <fgColor indexed="11"/>
        <bgColor indexed="9"/>
      </patternFill>
    </fill>
  </fills>
  <borders count="27">
    <border>
      <left/>
      <right/>
      <top/>
      <bottom/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22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indexed="22"/>
      </bottom>
      <diagonal/>
    </border>
  </borders>
  <cellStyleXfs count="49">
    <xf numFmtId="0" fontId="0" fillId="0" borderId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</cellStyleXfs>
  <cellXfs count="105">
    <xf numFmtId="0" fontId="0" fillId="0" borderId="0" xfId="0"/>
    <xf numFmtId="0" fontId="1" fillId="0" borderId="0" xfId="0" applyNumberFormat="1" applyFont="1" applyFill="1" applyBorder="1" applyAlignment="1" applyProtection="1">
      <protection locked="0"/>
    </xf>
    <xf numFmtId="3" fontId="1" fillId="0" borderId="0" xfId="0" applyNumberFormat="1" applyFont="1" applyFill="1" applyBorder="1" applyAlignment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14" fontId="4" fillId="2" borderId="0" xfId="0" applyNumberFormat="1" applyFont="1" applyFill="1" applyBorder="1" applyAlignment="1" applyProtection="1">
      <alignment horizontal="centerContinuous" vertical="center"/>
      <protection locked="0"/>
    </xf>
    <xf numFmtId="0" fontId="6" fillId="3" borderId="1" xfId="0" applyNumberFormat="1" applyFont="1" applyFill="1" applyBorder="1" applyAlignment="1" applyProtection="1">
      <protection locked="0"/>
    </xf>
    <xf numFmtId="7" fontId="7" fillId="3" borderId="2" xfId="0" applyNumberFormat="1" applyFont="1" applyFill="1" applyBorder="1" applyAlignment="1" applyProtection="1">
      <alignment horizontal="center"/>
      <protection locked="0"/>
    </xf>
    <xf numFmtId="0" fontId="1" fillId="2" borderId="0" xfId="0" applyNumberFormat="1" applyFont="1" applyFill="1" applyBorder="1" applyAlignment="1" applyProtection="1">
      <protection locked="0"/>
    </xf>
    <xf numFmtId="3" fontId="5" fillId="4" borderId="3" xfId="0" applyNumberFormat="1" applyFont="1" applyFill="1" applyBorder="1" applyAlignment="1" applyProtection="1">
      <alignment horizontal="center" vertical="center"/>
      <protection locked="0"/>
    </xf>
    <xf numFmtId="3" fontId="9" fillId="0" borderId="0" xfId="0" applyNumberFormat="1" applyFont="1" applyFill="1" applyBorder="1" applyAlignment="1" applyProtection="1">
      <alignment horizontal="right"/>
      <protection locked="0"/>
    </xf>
    <xf numFmtId="3" fontId="8" fillId="4" borderId="4" xfId="0" applyNumberFormat="1" applyFont="1" applyFill="1" applyBorder="1" applyAlignment="1" applyProtection="1">
      <alignment horizontal="center"/>
      <protection locked="0"/>
    </xf>
    <xf numFmtId="3" fontId="8" fillId="4" borderId="5" xfId="0" applyNumberFormat="1" applyFont="1" applyFill="1" applyBorder="1" applyAlignment="1" applyProtection="1">
      <alignment horizontal="center"/>
      <protection locked="0"/>
    </xf>
    <xf numFmtId="3" fontId="5" fillId="4" borderId="6" xfId="0" applyNumberFormat="1" applyFont="1" applyFill="1" applyBorder="1" applyAlignment="1" applyProtection="1">
      <alignment horizontal="center"/>
      <protection locked="0"/>
    </xf>
    <xf numFmtId="3" fontId="5" fillId="4" borderId="7" xfId="0" applyNumberFormat="1" applyFont="1" applyFill="1" applyBorder="1" applyAlignment="1" applyProtection="1">
      <alignment horizontal="center"/>
      <protection locked="0"/>
    </xf>
    <xf numFmtId="3" fontId="7" fillId="3" borderId="8" xfId="0" applyNumberFormat="1" applyFont="1" applyFill="1" applyBorder="1" applyAlignment="1" applyProtection="1">
      <alignment horizontal="center"/>
      <protection locked="0"/>
    </xf>
    <xf numFmtId="3" fontId="5" fillId="4" borderId="9" xfId="0" applyNumberFormat="1" applyFont="1" applyFill="1" applyBorder="1" applyAlignment="1" applyProtection="1">
      <alignment horizontal="center"/>
      <protection locked="0"/>
    </xf>
    <xf numFmtId="3" fontId="8" fillId="4" borderId="10" xfId="0" applyNumberFormat="1" applyFont="1" applyFill="1" applyBorder="1" applyAlignment="1" applyProtection="1">
      <alignment horizontal="center"/>
      <protection locked="0"/>
    </xf>
    <xf numFmtId="3" fontId="7" fillId="3" borderId="11" xfId="0" applyNumberFormat="1" applyFont="1" applyFill="1" applyBorder="1" applyAlignment="1" applyProtection="1">
      <alignment horizontal="center"/>
      <protection locked="0"/>
    </xf>
    <xf numFmtId="0" fontId="12" fillId="0" borderId="0" xfId="0" applyNumberFormat="1" applyFont="1" applyFill="1" applyBorder="1" applyAlignment="1" applyProtection="1">
      <alignment horizontal="left"/>
      <protection locked="0"/>
    </xf>
    <xf numFmtId="3" fontId="13" fillId="0" borderId="0" xfId="0" applyNumberFormat="1" applyFont="1" applyFill="1" applyBorder="1" applyAlignment="1" applyProtection="1">
      <protection locked="0"/>
    </xf>
    <xf numFmtId="0" fontId="13" fillId="0" borderId="0" xfId="0" applyNumberFormat="1" applyFont="1" applyFill="1" applyBorder="1" applyAlignment="1" applyProtection="1">
      <protection locked="0"/>
    </xf>
    <xf numFmtId="7" fontId="14" fillId="0" borderId="0" xfId="0" applyNumberFormat="1" applyFont="1" applyFill="1" applyBorder="1" applyAlignment="1" applyProtection="1">
      <alignment horizontal="right"/>
      <protection locked="0"/>
    </xf>
    <xf numFmtId="40" fontId="5" fillId="4" borderId="7" xfId="0" applyNumberFormat="1" applyFont="1" applyFill="1" applyBorder="1" applyAlignment="1" applyProtection="1">
      <alignment horizontal="center"/>
      <protection locked="0"/>
    </xf>
    <xf numFmtId="5" fontId="8" fillId="4" borderId="12" xfId="0" applyNumberFormat="1" applyFont="1" applyFill="1" applyBorder="1" applyAlignment="1" applyProtection="1">
      <alignment horizontal="center"/>
      <protection locked="0"/>
    </xf>
    <xf numFmtId="7" fontId="7" fillId="3" borderId="8" xfId="0" applyNumberFormat="1" applyFont="1" applyFill="1" applyBorder="1" applyAlignment="1" applyProtection="1">
      <alignment horizontal="center"/>
      <protection locked="0"/>
    </xf>
    <xf numFmtId="0" fontId="10" fillId="3" borderId="1" xfId="0" applyNumberFormat="1" applyFont="1" applyFill="1" applyBorder="1" applyAlignment="1" applyProtection="1">
      <alignment horizontal="center"/>
      <protection locked="0"/>
    </xf>
    <xf numFmtId="7" fontId="4" fillId="2" borderId="0" xfId="0" applyNumberFormat="1" applyFont="1" applyFill="1" applyBorder="1" applyAlignment="1" applyProtection="1">
      <alignment horizontal="centerContinuous" vertical="center"/>
      <protection locked="0"/>
    </xf>
    <xf numFmtId="0" fontId="11" fillId="2" borderId="0" xfId="0" applyNumberFormat="1" applyFont="1" applyFill="1" applyBorder="1" applyAlignment="1" applyProtection="1">
      <alignment horizontal="left" vertical="center"/>
      <protection locked="0"/>
    </xf>
    <xf numFmtId="0" fontId="15" fillId="0" borderId="0" xfId="0" applyNumberFormat="1" applyFont="1" applyFill="1" applyBorder="1" applyAlignment="1" applyProtection="1">
      <protection locked="0"/>
    </xf>
    <xf numFmtId="7" fontId="2" fillId="0" borderId="0" xfId="0" applyNumberFormat="1" applyFont="1" applyFill="1" applyBorder="1" applyAlignment="1" applyProtection="1">
      <alignment horizontal="right"/>
      <protection locked="0"/>
    </xf>
    <xf numFmtId="0" fontId="16" fillId="0" borderId="0" xfId="0" applyNumberFormat="1" applyFont="1" applyFill="1" applyBorder="1" applyAlignment="1" applyProtection="1">
      <alignment horizontal="left"/>
      <protection locked="0"/>
    </xf>
    <xf numFmtId="0" fontId="17" fillId="0" borderId="0" xfId="0" applyNumberFormat="1" applyFont="1" applyFill="1" applyBorder="1" applyAlignment="1" applyProtection="1">
      <alignment horizontal="left"/>
      <protection locked="0"/>
    </xf>
    <xf numFmtId="0" fontId="17" fillId="0" borderId="0" xfId="0" applyNumberFormat="1" applyFont="1" applyFill="1" applyBorder="1" applyAlignment="1" applyProtection="1">
      <protection locked="0"/>
    </xf>
    <xf numFmtId="0" fontId="18" fillId="2" borderId="0" xfId="0" applyNumberFormat="1" applyFont="1" applyFill="1" applyBorder="1" applyAlignment="1" applyProtection="1">
      <alignment horizontal="left" vertical="center"/>
      <protection locked="0"/>
    </xf>
    <xf numFmtId="0" fontId="19" fillId="0" borderId="0" xfId="0" applyNumberFormat="1" applyFont="1" applyFill="1" applyBorder="1" applyAlignment="1" applyProtection="1">
      <protection locked="0"/>
    </xf>
    <xf numFmtId="0" fontId="20" fillId="0" borderId="0" xfId="0" applyNumberFormat="1" applyFont="1" applyFill="1" applyBorder="1" applyAlignment="1" applyProtection="1">
      <protection locked="0"/>
    </xf>
    <xf numFmtId="0" fontId="21" fillId="0" borderId="13" xfId="0" applyNumberFormat="1" applyFont="1" applyFill="1" applyBorder="1" applyAlignment="1" applyProtection="1">
      <alignment horizontal="left"/>
      <protection locked="0"/>
    </xf>
    <xf numFmtId="3" fontId="22" fillId="4" borderId="14" xfId="0" applyNumberFormat="1" applyFont="1" applyFill="1" applyBorder="1" applyAlignment="1" applyProtection="1">
      <alignment horizontal="center"/>
      <protection locked="0"/>
    </xf>
    <xf numFmtId="0" fontId="21" fillId="0" borderId="13" xfId="0" applyNumberFormat="1" applyFont="1" applyFill="1" applyBorder="1" applyAlignment="1" applyProtection="1">
      <protection locked="0"/>
    </xf>
    <xf numFmtId="3" fontId="22" fillId="4" borderId="3" xfId="0" applyNumberFormat="1" applyFont="1" applyFill="1" applyBorder="1" applyAlignment="1" applyProtection="1">
      <alignment horizontal="center" vertical="center"/>
      <protection locked="0"/>
    </xf>
    <xf numFmtId="0" fontId="23" fillId="0" borderId="15" xfId="0" applyNumberFormat="1" applyFont="1" applyFill="1" applyBorder="1" applyAlignment="1" applyProtection="1">
      <protection locked="0"/>
    </xf>
    <xf numFmtId="38" fontId="24" fillId="4" borderId="5" xfId="0" applyNumberFormat="1" applyFont="1" applyFill="1" applyBorder="1" applyAlignment="1" applyProtection="1">
      <alignment horizontal="center"/>
      <protection locked="0"/>
    </xf>
    <xf numFmtId="0" fontId="20" fillId="0" borderId="15" xfId="0" applyNumberFormat="1" applyFont="1" applyFill="1" applyBorder="1" applyAlignment="1" applyProtection="1">
      <protection locked="0"/>
    </xf>
    <xf numFmtId="0" fontId="20" fillId="4" borderId="5" xfId="0" applyNumberFormat="1" applyFont="1" applyFill="1" applyBorder="1" applyAlignment="1" applyProtection="1">
      <protection locked="0"/>
    </xf>
    <xf numFmtId="0" fontId="25" fillId="0" borderId="0" xfId="0" applyNumberFormat="1" applyFont="1" applyFill="1" applyBorder="1" applyAlignment="1" applyProtection="1">
      <protection locked="0"/>
    </xf>
    <xf numFmtId="0" fontId="25" fillId="4" borderId="16" xfId="0" applyNumberFormat="1" applyFont="1" applyFill="1" applyBorder="1" applyAlignment="1" applyProtection="1">
      <protection locked="0"/>
    </xf>
    <xf numFmtId="3" fontId="26" fillId="0" borderId="0" xfId="0" applyNumberFormat="1" applyFont="1" applyFill="1" applyBorder="1" applyAlignment="1" applyProtection="1">
      <alignment horizontal="left"/>
      <protection locked="0"/>
    </xf>
    <xf numFmtId="0" fontId="27" fillId="0" borderId="0" xfId="0" applyNumberFormat="1" applyFont="1" applyFill="1" applyBorder="1" applyAlignment="1" applyProtection="1">
      <protection locked="0"/>
    </xf>
    <xf numFmtId="0" fontId="11" fillId="3" borderId="2" xfId="0" applyNumberFormat="1" applyFont="1" applyFill="1" applyBorder="1" applyAlignment="1" applyProtection="1">
      <alignment horizontal="center"/>
      <protection locked="0"/>
    </xf>
    <xf numFmtId="3" fontId="28" fillId="3" borderId="2" xfId="0" applyNumberFormat="1" applyFont="1" applyFill="1" applyBorder="1" applyAlignment="1" applyProtection="1">
      <alignment horizontal="center"/>
      <protection locked="0"/>
    </xf>
    <xf numFmtId="0" fontId="29" fillId="3" borderId="17" xfId="0" applyNumberFormat="1" applyFont="1" applyFill="1" applyBorder="1" applyAlignment="1" applyProtection="1">
      <alignment horizontal="center"/>
      <protection locked="0"/>
    </xf>
    <xf numFmtId="3" fontId="30" fillId="3" borderId="11" xfId="0" applyNumberFormat="1" applyFont="1" applyFill="1" applyBorder="1" applyAlignment="1" applyProtection="1">
      <alignment horizontal="center"/>
      <protection locked="0"/>
    </xf>
    <xf numFmtId="0" fontId="21" fillId="0" borderId="6" xfId="0" applyNumberFormat="1" applyFont="1" applyFill="1" applyBorder="1" applyAlignment="1" applyProtection="1">
      <protection locked="0"/>
    </xf>
    <xf numFmtId="3" fontId="22" fillId="0" borderId="6" xfId="0" applyNumberFormat="1" applyFont="1" applyFill="1" applyBorder="1" applyAlignment="1" applyProtection="1">
      <alignment horizontal="center"/>
      <protection locked="0"/>
    </xf>
    <xf numFmtId="3" fontId="21" fillId="0" borderId="18" xfId="0" applyNumberFormat="1" applyFont="1" applyFill="1" applyBorder="1" applyAlignment="1" applyProtection="1">
      <alignment horizontal="center"/>
      <protection locked="0"/>
    </xf>
    <xf numFmtId="0" fontId="21" fillId="0" borderId="7" xfId="0" applyNumberFormat="1" applyFont="1" applyFill="1" applyBorder="1" applyAlignment="1" applyProtection="1">
      <protection locked="0"/>
    </xf>
    <xf numFmtId="3" fontId="22" fillId="0" borderId="7" xfId="0" applyNumberFormat="1" applyFont="1" applyFill="1" applyBorder="1" applyAlignment="1" applyProtection="1">
      <alignment horizontal="center"/>
      <protection locked="0"/>
    </xf>
    <xf numFmtId="3" fontId="21" fillId="0" borderId="20" xfId="0" applyNumberFormat="1" applyFont="1" applyFill="1" applyBorder="1" applyAlignment="1" applyProtection="1">
      <alignment horizontal="center"/>
      <protection locked="0"/>
    </xf>
    <xf numFmtId="3" fontId="23" fillId="0" borderId="20" xfId="0" applyNumberFormat="1" applyFont="1" applyFill="1" applyBorder="1" applyAlignment="1" applyProtection="1">
      <alignment horizontal="center"/>
      <protection locked="0"/>
    </xf>
    <xf numFmtId="0" fontId="23" fillId="0" borderId="4" xfId="0" applyNumberFormat="1" applyFont="1" applyFill="1" applyBorder="1" applyAlignment="1" applyProtection="1">
      <alignment horizontal="left"/>
      <protection locked="0"/>
    </xf>
    <xf numFmtId="3" fontId="24" fillId="4" borderId="4" xfId="0" applyNumberFormat="1" applyFont="1" applyFill="1" applyBorder="1" applyAlignment="1" applyProtection="1">
      <alignment horizontal="center"/>
      <protection locked="0"/>
    </xf>
    <xf numFmtId="3" fontId="23" fillId="4" borderId="4" xfId="0" applyNumberFormat="1" applyFont="1" applyFill="1" applyBorder="1" applyAlignment="1" applyProtection="1">
      <alignment horizontal="center"/>
      <protection locked="0"/>
    </xf>
    <xf numFmtId="0" fontId="31" fillId="0" borderId="0" xfId="0" applyNumberFormat="1" applyFont="1" applyFill="1" applyBorder="1" applyAlignment="1" applyProtection="1">
      <protection locked="0"/>
    </xf>
    <xf numFmtId="3" fontId="28" fillId="0" borderId="0" xfId="0" applyNumberFormat="1" applyFont="1" applyFill="1" applyBorder="1" applyAlignment="1" applyProtection="1">
      <alignment horizontal="center"/>
      <protection locked="0"/>
    </xf>
    <xf numFmtId="3" fontId="31" fillId="0" borderId="0" xfId="0" applyNumberFormat="1" applyFont="1" applyFill="1" applyBorder="1" applyAlignment="1" applyProtection="1">
      <alignment horizontal="right"/>
      <protection locked="0"/>
    </xf>
    <xf numFmtId="0" fontId="29" fillId="3" borderId="1" xfId="0" applyNumberFormat="1" applyFont="1" applyFill="1" applyBorder="1" applyAlignment="1" applyProtection="1">
      <protection locked="0"/>
    </xf>
    <xf numFmtId="3" fontId="28" fillId="3" borderId="1" xfId="0" applyNumberFormat="1" applyFont="1" applyFill="1" applyBorder="1" applyAlignment="1" applyProtection="1">
      <alignment horizontal="center"/>
      <protection locked="0"/>
    </xf>
    <xf numFmtId="3" fontId="23" fillId="3" borderId="11" xfId="0" applyNumberFormat="1" applyFont="1" applyFill="1" applyBorder="1" applyAlignment="1" applyProtection="1">
      <alignment horizontal="center"/>
      <protection locked="0"/>
    </xf>
    <xf numFmtId="3" fontId="21" fillId="0" borderId="21" xfId="0" applyNumberFormat="1" applyFont="1" applyFill="1" applyBorder="1" applyAlignment="1" applyProtection="1">
      <alignment horizontal="center"/>
      <protection locked="0"/>
    </xf>
    <xf numFmtId="0" fontId="32" fillId="0" borderId="7" xfId="0" applyNumberFormat="1" applyFont="1" applyFill="1" applyBorder="1" applyAlignment="1" applyProtection="1">
      <protection locked="0"/>
    </xf>
    <xf numFmtId="3" fontId="21" fillId="0" borderId="22" xfId="0" applyNumberFormat="1" applyFont="1" applyFill="1" applyBorder="1" applyAlignment="1" applyProtection="1">
      <alignment horizontal="center"/>
      <protection locked="0"/>
    </xf>
    <xf numFmtId="0" fontId="23" fillId="0" borderId="23" xfId="0" applyNumberFormat="1" applyFont="1" applyFill="1" applyBorder="1" applyAlignment="1" applyProtection="1">
      <protection locked="0"/>
    </xf>
    <xf numFmtId="3" fontId="24" fillId="4" borderId="5" xfId="0" applyNumberFormat="1" applyFont="1" applyFill="1" applyBorder="1" applyAlignment="1" applyProtection="1">
      <alignment horizontal="center"/>
      <protection locked="0"/>
    </xf>
    <xf numFmtId="0" fontId="21" fillId="0" borderId="0" xfId="0" applyNumberFormat="1" applyFont="1" applyFill="1" applyBorder="1" applyAlignment="1" applyProtection="1">
      <alignment horizontal="left"/>
      <protection locked="0"/>
    </xf>
    <xf numFmtId="3" fontId="23" fillId="4" borderId="5" xfId="0" applyNumberFormat="1" applyFont="1" applyFill="1" applyBorder="1" applyAlignment="1" applyProtection="1">
      <alignment horizontal="center"/>
      <protection locked="0"/>
    </xf>
    <xf numFmtId="0" fontId="29" fillId="3" borderId="2" xfId="0" applyNumberFormat="1" applyFont="1" applyFill="1" applyBorder="1" applyAlignment="1" applyProtection="1">
      <protection locked="0"/>
    </xf>
    <xf numFmtId="0" fontId="21" fillId="0" borderId="24" xfId="0" applyNumberFormat="1" applyFont="1" applyFill="1" applyBorder="1" applyAlignment="1" applyProtection="1">
      <protection locked="0"/>
    </xf>
    <xf numFmtId="3" fontId="22" fillId="0" borderId="24" xfId="0" applyNumberFormat="1" applyFont="1" applyFill="1" applyBorder="1" applyAlignment="1" applyProtection="1">
      <alignment horizontal="center"/>
      <protection locked="0"/>
    </xf>
    <xf numFmtId="3" fontId="22" fillId="0" borderId="25" xfId="0" applyNumberFormat="1" applyFont="1" applyFill="1" applyBorder="1" applyAlignment="1" applyProtection="1">
      <alignment horizontal="center"/>
      <protection locked="0"/>
    </xf>
    <xf numFmtId="3" fontId="24" fillId="4" borderId="12" xfId="0" applyNumberFormat="1" applyFont="1" applyFill="1" applyBorder="1" applyAlignment="1" applyProtection="1">
      <alignment horizontal="center"/>
      <protection locked="0"/>
    </xf>
    <xf numFmtId="3" fontId="23" fillId="4" borderId="12" xfId="0" applyNumberFormat="1" applyFont="1" applyFill="1" applyBorder="1" applyAlignment="1" applyProtection="1">
      <alignment horizontal="center"/>
      <protection locked="0"/>
    </xf>
    <xf numFmtId="3" fontId="33" fillId="0" borderId="0" xfId="0" applyNumberFormat="1" applyFont="1" applyFill="1" applyBorder="1" applyAlignment="1" applyProtection="1">
      <alignment horizontal="center"/>
      <protection locked="0"/>
    </xf>
    <xf numFmtId="3" fontId="34" fillId="0" borderId="0" xfId="0" applyNumberFormat="1" applyFont="1" applyFill="1" applyBorder="1" applyAlignment="1" applyProtection="1">
      <protection locked="0"/>
    </xf>
    <xf numFmtId="0" fontId="17" fillId="0" borderId="0" xfId="0" applyNumberFormat="1" applyFont="1" applyFill="1" applyBorder="1" applyAlignment="1" applyProtection="1">
      <alignment horizontal="right"/>
      <protection locked="0"/>
    </xf>
    <xf numFmtId="0" fontId="35" fillId="0" borderId="24" xfId="0" applyNumberFormat="1" applyFont="1" applyFill="1" applyBorder="1" applyAlignment="1" applyProtection="1">
      <protection locked="0"/>
    </xf>
    <xf numFmtId="0" fontId="36" fillId="0" borderId="0" xfId="0" applyNumberFormat="1" applyFont="1" applyFill="1" applyBorder="1" applyAlignment="1" applyProtection="1">
      <protection locked="0"/>
    </xf>
    <xf numFmtId="0" fontId="37" fillId="0" borderId="0" xfId="0" applyNumberFormat="1" applyFont="1" applyFill="1" applyBorder="1" applyAlignment="1" applyProtection="1">
      <protection locked="0"/>
    </xf>
    <xf numFmtId="0" fontId="42" fillId="0" borderId="0" xfId="0" applyNumberFormat="1" applyFont="1" applyFill="1" applyBorder="1" applyAlignment="1" applyProtection="1">
      <protection locked="0"/>
    </xf>
    <xf numFmtId="0" fontId="2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46" fillId="0" borderId="19" xfId="0" applyNumberFormat="1" applyFont="1" applyFill="1" applyBorder="1" applyAlignment="1" applyProtection="1">
      <alignment horizontal="left" vertical="center"/>
      <protection locked="0"/>
    </xf>
    <xf numFmtId="0" fontId="48" fillId="0" borderId="0" xfId="0" applyNumberFormat="1" applyFont="1" applyFill="1" applyBorder="1" applyAlignment="1" applyProtection="1">
      <alignment horizontal="left"/>
      <protection locked="0"/>
    </xf>
    <xf numFmtId="0" fontId="48" fillId="0" borderId="0" xfId="0" applyNumberFormat="1" applyFont="1" applyFill="1" applyBorder="1" applyAlignment="1" applyProtection="1">
      <protection locked="0"/>
    </xf>
    <xf numFmtId="0" fontId="50" fillId="0" borderId="0" xfId="0" applyNumberFormat="1" applyFont="1" applyFill="1" applyBorder="1" applyAlignment="1" applyProtection="1">
      <protection locked="0"/>
    </xf>
    <xf numFmtId="0" fontId="35" fillId="0" borderId="7" xfId="0" applyNumberFormat="1" applyFont="1" applyFill="1" applyBorder="1" applyAlignment="1" applyProtection="1">
      <protection locked="0"/>
    </xf>
    <xf numFmtId="0" fontId="46" fillId="0" borderId="7" xfId="0" applyNumberFormat="1" applyFont="1" applyFill="1" applyBorder="1" applyAlignment="1" applyProtection="1">
      <protection locked="0"/>
    </xf>
    <xf numFmtId="3" fontId="20" fillId="0" borderId="0" xfId="0" applyNumberFormat="1" applyFont="1" applyFill="1" applyBorder="1" applyAlignment="1" applyProtection="1">
      <alignment horizontal="center"/>
      <protection locked="0"/>
    </xf>
    <xf numFmtId="0" fontId="51" fillId="0" borderId="19" xfId="0" applyNumberFormat="1" applyFont="1" applyFill="1" applyBorder="1" applyAlignment="1" applyProtection="1">
      <alignment horizontal="left"/>
      <protection locked="0"/>
    </xf>
    <xf numFmtId="0" fontId="47" fillId="0" borderId="26" xfId="0" applyNumberFormat="1" applyFont="1" applyFill="1" applyBorder="1" applyAlignment="1" applyProtection="1">
      <alignment horizontal="left"/>
      <protection locked="0"/>
    </xf>
    <xf numFmtId="3" fontId="52" fillId="0" borderId="0" xfId="0" applyNumberFormat="1" applyFont="1" applyFill="1" applyBorder="1" applyAlignment="1" applyProtection="1">
      <protection locked="0"/>
    </xf>
    <xf numFmtId="0" fontId="0" fillId="0" borderId="0" xfId="0" applyNumberFormat="1" applyFont="1" applyFill="1" applyBorder="1" applyAlignment="1" applyProtection="1">
      <protection locked="0"/>
    </xf>
    <xf numFmtId="0" fontId="54" fillId="0" borderId="19" xfId="0" applyNumberFormat="1" applyFont="1" applyFill="1" applyBorder="1" applyAlignment="1" applyProtection="1">
      <alignment horizontal="left" vertical="center"/>
      <protection locked="0"/>
    </xf>
    <xf numFmtId="0" fontId="46" fillId="0" borderId="19" xfId="0" applyNumberFormat="1" applyFont="1" applyFill="1" applyBorder="1" applyAlignment="1" applyProtection="1">
      <alignment horizontal="left"/>
      <protection locked="0"/>
    </xf>
    <xf numFmtId="0" fontId="35" fillId="0" borderId="6" xfId="0" applyNumberFormat="1" applyFont="1" applyFill="1" applyBorder="1" applyAlignment="1" applyProtection="1">
      <protection locked="0"/>
    </xf>
    <xf numFmtId="0" fontId="54" fillId="0" borderId="19" xfId="0" applyNumberFormat="1" applyFont="1" applyFill="1" applyBorder="1" applyAlignment="1" applyProtection="1">
      <alignment horizontal="left"/>
      <protection locked="0"/>
    </xf>
    <xf numFmtId="0" fontId="5" fillId="0" borderId="25" xfId="0" applyNumberFormat="1" applyFont="1" applyFill="1" applyBorder="1" applyAlignment="1" applyProtection="1">
      <protection locked="0"/>
    </xf>
  </cellXfs>
  <cellStyles count="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topLeftCell="A20" zoomScale="130" zoomScaleNormal="130" zoomScalePageLayoutView="130" workbookViewId="0">
      <selection activeCell="B45" sqref="B45"/>
    </sheetView>
  </sheetViews>
  <sheetFormatPr defaultColWidth="11.44140625" defaultRowHeight="13.2"/>
  <cols>
    <col min="1" max="1" width="33.109375" style="1" customWidth="1"/>
    <col min="2" max="2" width="18.109375" style="1" customWidth="1"/>
    <col min="3" max="3" width="53.6640625" style="1" customWidth="1"/>
    <col min="4" max="4" width="20.44140625" style="1" customWidth="1"/>
    <col min="5" max="5" width="20.77734375" style="1" customWidth="1"/>
    <col min="6" max="6" width="12.6640625" style="1" hidden="1" customWidth="1"/>
    <col min="7" max="7" width="5.109375" style="1" customWidth="1"/>
    <col min="8" max="8" width="11.44140625" hidden="1" customWidth="1"/>
  </cols>
  <sheetData>
    <row r="1" spans="1:8" ht="33">
      <c r="A1" s="33" t="s">
        <v>30</v>
      </c>
      <c r="B1" s="27"/>
      <c r="C1" s="7"/>
      <c r="D1" s="26"/>
      <c r="E1" s="26"/>
      <c r="F1" s="4"/>
    </row>
    <row r="2" spans="1:8" ht="16.2">
      <c r="A2" s="85" t="s">
        <v>63</v>
      </c>
      <c r="B2" s="86" t="s">
        <v>49</v>
      </c>
      <c r="E2" s="29"/>
      <c r="F2" s="21"/>
    </row>
    <row r="3" spans="1:8" ht="16.8">
      <c r="A3" s="5"/>
      <c r="B3" s="25" t="s">
        <v>31</v>
      </c>
      <c r="C3" s="50" t="s">
        <v>26</v>
      </c>
      <c r="D3" s="6" t="s">
        <v>32</v>
      </c>
      <c r="E3" s="24" t="s">
        <v>33</v>
      </c>
      <c r="F3" s="14" t="s">
        <v>0</v>
      </c>
      <c r="H3" s="3"/>
    </row>
    <row r="4" spans="1:8" ht="16.8">
      <c r="A4" s="36" t="s">
        <v>1</v>
      </c>
      <c r="B4" s="95">
        <f>SUM(B11+B12+B13)</f>
        <v>61560</v>
      </c>
      <c r="C4" s="98" t="s">
        <v>35</v>
      </c>
      <c r="D4" s="37">
        <v>62673</v>
      </c>
      <c r="E4" s="37">
        <v>65635</v>
      </c>
      <c r="F4" s="8" t="str">
        <f>IF(OR(D4,E4),IF(D4-E4&gt;0,FIXED(D4-E4,2)&amp;" over",IF(D4-E4&lt;0,FIXED(E4-D4,2)&amp;" under","at budget")),"")</f>
        <v>2,962.00 under</v>
      </c>
      <c r="H4" s="3"/>
    </row>
    <row r="5" spans="1:8" ht="16.8">
      <c r="A5" s="38" t="s">
        <v>2</v>
      </c>
      <c r="B5" s="39">
        <f>SUM(B26+B33)</f>
        <v>60130</v>
      </c>
      <c r="C5" s="32" t="s">
        <v>20</v>
      </c>
      <c r="D5" s="39">
        <f>SUM(D26+D33)</f>
        <v>58858</v>
      </c>
      <c r="E5" s="39">
        <v>61920</v>
      </c>
      <c r="F5" s="8" t="str">
        <f>IF(OR(D5,E5),IF(D5-E5&gt;0,FIXED(D5-E5,2)&amp;" over",IF(D5-E5&lt;0,FIXED(E5-D5,2)&amp;" under","at budget")),"")</f>
        <v>3,062.00 under</v>
      </c>
    </row>
    <row r="6" spans="1:8" ht="17.399999999999999" thickBot="1">
      <c r="A6" s="40" t="s">
        <v>3</v>
      </c>
      <c r="B6" s="41">
        <f>B4-B5</f>
        <v>1430</v>
      </c>
      <c r="C6" s="32" t="s">
        <v>27</v>
      </c>
      <c r="D6" s="41">
        <f>D4-D5</f>
        <v>3815</v>
      </c>
      <c r="E6" s="41">
        <v>3715</v>
      </c>
      <c r="F6" s="11" t="str">
        <f>IF(OR(D6,E6),IF(D6-E6&gt;0,FIXED(D6-E6,2)&amp;" over ",IF(D6-E6&lt;0,FIXED(E6-D6,2)&amp;" under","at budget")),"")</f>
        <v xml:space="preserve">100.00 over </v>
      </c>
    </row>
    <row r="7" spans="1:8" ht="16.2" thickBot="1">
      <c r="A7" s="42"/>
      <c r="B7" s="43"/>
      <c r="C7" s="44" t="s">
        <v>55</v>
      </c>
      <c r="D7" s="44"/>
      <c r="E7" s="43"/>
    </row>
    <row r="8" spans="1:8" ht="16.2" thickBot="1">
      <c r="A8" s="42"/>
      <c r="B8" s="43"/>
      <c r="C8" s="44" t="s">
        <v>56</v>
      </c>
      <c r="D8" s="45"/>
      <c r="E8" s="43"/>
    </row>
    <row r="9" spans="1:8" ht="16.8">
      <c r="A9" s="34" t="s">
        <v>4</v>
      </c>
      <c r="B9" s="46"/>
      <c r="C9" s="47"/>
      <c r="D9" s="44"/>
      <c r="E9" s="46"/>
    </row>
    <row r="10" spans="1:8" ht="16.8">
      <c r="A10" s="48"/>
      <c r="B10" s="49"/>
      <c r="C10" s="50" t="s">
        <v>26</v>
      </c>
      <c r="D10" s="51"/>
      <c r="E10" s="49"/>
    </row>
    <row r="11" spans="1:8" ht="16.8">
      <c r="A11" s="52" t="s">
        <v>5</v>
      </c>
      <c r="B11" s="53">
        <v>61560</v>
      </c>
      <c r="C11" s="97" t="s">
        <v>43</v>
      </c>
      <c r="D11" s="54">
        <v>60590</v>
      </c>
      <c r="E11" s="53">
        <v>61560</v>
      </c>
      <c r="F11" s="12" t="str">
        <f>IF(OR(D11,E11,(D11+E11=0)),IF(D11-E11&gt;0,FIXED(D11-E11,2)&amp;" over",IF(D11-E11&lt;0,FIXED(E11-D11,2)&amp;" under","at budget")),"")</f>
        <v>970.00 under</v>
      </c>
    </row>
    <row r="12" spans="1:8" ht="16.8">
      <c r="A12" s="55" t="s">
        <v>6</v>
      </c>
      <c r="B12" s="56">
        <v>0</v>
      </c>
      <c r="C12" s="96" t="s">
        <v>34</v>
      </c>
      <c r="D12" s="57">
        <v>8</v>
      </c>
      <c r="E12" s="56">
        <v>0</v>
      </c>
      <c r="F12" s="13" t="str">
        <f>IF(OR(D12,E12,(D12+E12=0)),IF(D12-E12&gt;0,FIXED(D12-E12,2)&amp;" over",IF(D12-E12&lt;0,FIXED(E12-D12,2)&amp;" under","at budget")),"")</f>
        <v>8.00 over</v>
      </c>
    </row>
    <row r="13" spans="1:8" ht="17.399999999999999" thickBot="1">
      <c r="A13" s="55" t="s">
        <v>7</v>
      </c>
      <c r="B13" s="56">
        <v>0</v>
      </c>
      <c r="C13" s="91" t="s">
        <v>44</v>
      </c>
      <c r="D13" s="58">
        <v>2075</v>
      </c>
      <c r="E13" s="56">
        <v>4075</v>
      </c>
      <c r="F13" s="13" t="str">
        <f>IF(OR(D13,E13,(D13+E13=0)),IF(D13-E13&gt;0,FIXED(D13-E13,2)&amp;" over",IF(D13-E13&lt;0,FIXED(E13-D13,2)&amp;" under","at budget")),"")</f>
        <v>2,000.00 under</v>
      </c>
    </row>
    <row r="14" spans="1:8" ht="17.399999999999999" thickBot="1">
      <c r="A14" s="59" t="s">
        <v>8</v>
      </c>
      <c r="B14" s="60">
        <f>SUM(B11:B13)</f>
        <v>61560</v>
      </c>
      <c r="D14" s="61">
        <f>SUM(D11:D13)</f>
        <v>62673</v>
      </c>
      <c r="E14" s="60">
        <f>SUM(E11:E13)</f>
        <v>65635</v>
      </c>
      <c r="F14" s="10" t="str">
        <f>IF(OR(D14,E14),IF(D14-E14&gt;0,FIXED(D14-E14,2)&amp;" over",IF(D14-E14&lt;0,FIXED(E14-D14,2)&amp;" under","at budget")),"")</f>
        <v>2,962.00 under</v>
      </c>
    </row>
    <row r="15" spans="1:8" ht="15">
      <c r="A15" s="62"/>
      <c r="B15" s="63"/>
      <c r="C15" s="35"/>
      <c r="D15" s="64"/>
      <c r="E15" s="63"/>
      <c r="F15" s="9"/>
    </row>
    <row r="16" spans="1:8" ht="16.8">
      <c r="A16" s="65" t="s">
        <v>9</v>
      </c>
      <c r="B16" s="66"/>
      <c r="C16" s="50" t="s">
        <v>26</v>
      </c>
      <c r="D16" s="67"/>
      <c r="E16" s="66"/>
      <c r="F16" s="14"/>
    </row>
    <row r="17" spans="1:6" ht="16.8">
      <c r="A17" s="102" t="s">
        <v>42</v>
      </c>
      <c r="B17" s="53">
        <v>11725</v>
      </c>
      <c r="C17" s="101" t="s">
        <v>45</v>
      </c>
      <c r="D17" s="54">
        <v>11160</v>
      </c>
      <c r="E17" s="53">
        <v>10750</v>
      </c>
      <c r="F17" s="12" t="str">
        <f t="shared" ref="F17:F25" si="0">IF(OR(D17,E17,(D17+E17=0)),IF(D17-E17&gt;0,FIXED(D17-E17,2)&amp;" over",IF(D17-E17&lt;0,FIXED(E17-D17,2)&amp;" under","at budget")),"")</f>
        <v>410.00 over</v>
      </c>
    </row>
    <row r="18" spans="1:6" ht="16.8">
      <c r="A18" s="93" t="s">
        <v>29</v>
      </c>
      <c r="B18" s="56">
        <v>2500</v>
      </c>
      <c r="C18" s="92" t="s">
        <v>46</v>
      </c>
      <c r="D18" s="68">
        <v>4360</v>
      </c>
      <c r="E18" s="56">
        <v>2500</v>
      </c>
      <c r="F18" s="22" t="str">
        <f t="shared" si="0"/>
        <v>1,860.00 over</v>
      </c>
    </row>
    <row r="19" spans="1:6" ht="16.8">
      <c r="A19" s="94" t="s">
        <v>57</v>
      </c>
      <c r="B19" s="56">
        <v>0</v>
      </c>
      <c r="C19" s="103" t="s">
        <v>58</v>
      </c>
      <c r="D19" s="68">
        <v>1725</v>
      </c>
      <c r="E19" s="56">
        <v>2000</v>
      </c>
      <c r="F19" s="22"/>
    </row>
    <row r="20" spans="1:6" ht="16.8">
      <c r="A20" s="55" t="s">
        <v>10</v>
      </c>
      <c r="B20" s="56">
        <v>6500</v>
      </c>
      <c r="C20" s="90" t="s">
        <v>47</v>
      </c>
      <c r="D20" s="68">
        <v>6230</v>
      </c>
      <c r="E20" s="56">
        <v>5500</v>
      </c>
      <c r="F20" s="13" t="str">
        <f t="shared" si="0"/>
        <v>730.00 over</v>
      </c>
    </row>
    <row r="21" spans="1:6" ht="16.8">
      <c r="A21" s="55" t="s">
        <v>11</v>
      </c>
      <c r="B21" s="56">
        <v>15655</v>
      </c>
      <c r="C21" s="99" t="s">
        <v>62</v>
      </c>
      <c r="D21" s="68">
        <v>13501</v>
      </c>
      <c r="E21" s="56">
        <v>16000</v>
      </c>
      <c r="F21" s="13" t="str">
        <f t="shared" si="0"/>
        <v>2,499.00 under</v>
      </c>
    </row>
    <row r="22" spans="1:6" ht="16.8">
      <c r="A22" s="55" t="s">
        <v>12</v>
      </c>
      <c r="B22" s="56">
        <v>4700</v>
      </c>
      <c r="C22" s="89"/>
      <c r="D22" s="68">
        <v>4676</v>
      </c>
      <c r="E22" s="56">
        <v>4700</v>
      </c>
      <c r="F22" s="13" t="str">
        <f t="shared" si="0"/>
        <v>24.00 under</v>
      </c>
    </row>
    <row r="23" spans="1:6" ht="16.8">
      <c r="A23" s="69" t="s">
        <v>13</v>
      </c>
      <c r="B23" s="56">
        <v>4775</v>
      </c>
      <c r="C23" s="100" t="s">
        <v>39</v>
      </c>
      <c r="D23" s="68">
        <v>4342</v>
      </c>
      <c r="E23" s="56">
        <v>5950</v>
      </c>
      <c r="F23" s="13" t="str">
        <f t="shared" si="0"/>
        <v>1,608.00 under</v>
      </c>
    </row>
    <row r="24" spans="1:6" ht="16.8">
      <c r="A24" s="69" t="s">
        <v>14</v>
      </c>
      <c r="B24" s="56">
        <v>4475</v>
      </c>
      <c r="C24" s="100" t="s">
        <v>40</v>
      </c>
      <c r="D24" s="68">
        <v>4066</v>
      </c>
      <c r="E24" s="56">
        <v>4900</v>
      </c>
      <c r="F24" s="13" t="str">
        <f t="shared" si="0"/>
        <v>834.00 under</v>
      </c>
    </row>
    <row r="25" spans="1:6" ht="17.399999999999999" thickBot="1">
      <c r="A25" s="69" t="s">
        <v>15</v>
      </c>
      <c r="B25" s="56">
        <v>850</v>
      </c>
      <c r="C25" s="100" t="s">
        <v>41</v>
      </c>
      <c r="D25" s="70">
        <v>776</v>
      </c>
      <c r="E25" s="56">
        <v>870</v>
      </c>
      <c r="F25" s="15" t="str">
        <f t="shared" si="0"/>
        <v>94.00 under</v>
      </c>
    </row>
    <row r="26" spans="1:6" ht="16.8">
      <c r="A26" s="71" t="s">
        <v>16</v>
      </c>
      <c r="B26" s="72">
        <f>SUM(B16:B25)</f>
        <v>51180</v>
      </c>
      <c r="C26" s="73"/>
      <c r="D26" s="74">
        <f>SUM(D16:D25)</f>
        <v>50836</v>
      </c>
      <c r="E26" s="72">
        <f>SUM(E16:E25)</f>
        <v>53170</v>
      </c>
      <c r="F26" s="16" t="str">
        <f>IF(OR(D26,E26,(D26+E26=0)),IF(D26-E26&gt;0,FIXED(D26-E26,2)&amp;" over ",IF(D26-E26&lt;0,FIXED(E26-D26,2)&amp;" under","at budget")),"")</f>
        <v>2,334.00 under</v>
      </c>
    </row>
    <row r="27" spans="1:6" ht="16.8">
      <c r="A27" s="75" t="s">
        <v>17</v>
      </c>
      <c r="B27" s="49"/>
      <c r="C27" s="50"/>
      <c r="D27" s="67"/>
      <c r="E27" s="49"/>
      <c r="F27" s="17"/>
    </row>
    <row r="28" spans="1:6" ht="16.8">
      <c r="A28" s="76" t="s">
        <v>23</v>
      </c>
      <c r="B28" s="77">
        <v>7500</v>
      </c>
      <c r="C28" s="88" t="s">
        <v>36</v>
      </c>
      <c r="D28" s="54">
        <v>7695</v>
      </c>
      <c r="E28" s="77">
        <v>8300</v>
      </c>
      <c r="F28" s="12" t="str">
        <f>IF(OR(D28,E28,(D28+E28=0)),IF(D28-E28&gt;0,FIXED(D28-E28,2)&amp;" over",IF(D28-E28&lt;0,FIXED(E28-D28,2)&amp;" under","at budget")),"")</f>
        <v>605.00 under</v>
      </c>
    </row>
    <row r="29" spans="1:6" ht="16.8">
      <c r="A29" s="84" t="s">
        <v>25</v>
      </c>
      <c r="B29" s="77">
        <v>250</v>
      </c>
      <c r="C29" s="86" t="s">
        <v>64</v>
      </c>
      <c r="D29" s="68">
        <v>250</v>
      </c>
      <c r="E29" s="77">
        <v>250</v>
      </c>
      <c r="F29" s="12" t="e">
        <f>IF(OR(#REF!,E29,(#REF!+E29=0)),IF(#REF!-E29&gt;0,FIXED(#REF!-E29,2)&amp;" over",IF(#REF!-E29&lt;0,FIXED(E29-#REF!,2)&amp;" under","at budget")),"")</f>
        <v>#REF!</v>
      </c>
    </row>
    <row r="30" spans="1:6" ht="16.8">
      <c r="A30" s="84" t="s">
        <v>59</v>
      </c>
      <c r="B30" s="77">
        <v>1200</v>
      </c>
      <c r="C30" s="35" t="s">
        <v>65</v>
      </c>
      <c r="D30" s="68">
        <v>77</v>
      </c>
      <c r="E30" s="77">
        <v>200</v>
      </c>
      <c r="F30" s="13" t="str">
        <f>IF(OR(D29,E30,(D29+E30=0)),IF(D29-E30&gt;0,FIXED(D29-E30,2)&amp;" over",IF(D29-E30&lt;0,FIXED(E30-D29,2)&amp;" under","at budget")),"")</f>
        <v>50.00 over</v>
      </c>
    </row>
    <row r="31" spans="1:6" ht="15">
      <c r="A31" s="99" t="s">
        <v>60</v>
      </c>
      <c r="C31" s="35" t="s">
        <v>66</v>
      </c>
      <c r="E31" s="77"/>
      <c r="F31" s="13" t="str">
        <f>IF(OR(D30,E31,(D30+E31=0)),IF(D30-E31&gt;0,FIXED(D30-E31,2)&amp;" over",IF(D30-E31&lt;0,FIXED(E31-D30,2)&amp;" under","at budget")),"")</f>
        <v>77.00 over</v>
      </c>
    </row>
    <row r="32" spans="1:6" ht="17.399999999999999" thickBot="1">
      <c r="A32" s="104" t="s">
        <v>61</v>
      </c>
      <c r="B32" s="78"/>
      <c r="C32" s="35" t="s">
        <v>67</v>
      </c>
      <c r="D32" s="70"/>
      <c r="E32" s="78"/>
      <c r="F32" s="15" t="str">
        <f>IF(OR(D32,E32,(D32+E32=0)),IF(D32-E32&gt;0,FIXED(D32-E32,2)&amp;" over",IF(D32-E32&lt;0,FIXED(E32-D32,2)&amp;" under","at budget")),"")</f>
        <v>at budget</v>
      </c>
    </row>
    <row r="33" spans="1:6" ht="16.8">
      <c r="A33" s="71" t="s">
        <v>18</v>
      </c>
      <c r="B33" s="79">
        <f>SUM(B28:B32)</f>
        <v>8950</v>
      </c>
      <c r="C33" s="35" t="s">
        <v>68</v>
      </c>
      <c r="D33" s="80">
        <f>SUM(D28:D32)</f>
        <v>8022</v>
      </c>
      <c r="E33" s="79">
        <f>SUM(E28:E32)</f>
        <v>8750</v>
      </c>
      <c r="F33" s="23" t="str">
        <f>IF(OR(D33,E33,(D33+E33=0)),IF(D33-E33&gt;0,FIXED(D33-E33,2)&amp;" over ",IF(D33-E33&lt;0,FIXED(E33-D33,2)&amp;" Under","at budget")),"")</f>
        <v>728.00 Under</v>
      </c>
    </row>
    <row r="34" spans="1:6" ht="15.6">
      <c r="A34" s="31"/>
      <c r="B34" s="81"/>
      <c r="C34" s="35" t="s">
        <v>69</v>
      </c>
      <c r="D34" s="82"/>
      <c r="E34" s="81"/>
      <c r="F34" s="18"/>
    </row>
    <row r="35" spans="1:6" ht="15">
      <c r="A35" s="90" t="s">
        <v>28</v>
      </c>
      <c r="C35" s="35" t="s">
        <v>70</v>
      </c>
      <c r="E35" s="82"/>
      <c r="F35" s="19"/>
    </row>
    <row r="36" spans="1:6" ht="15">
      <c r="A36" s="91" t="s">
        <v>24</v>
      </c>
      <c r="C36" s="35" t="s">
        <v>71</v>
      </c>
      <c r="D36" s="87" t="s">
        <v>37</v>
      </c>
      <c r="E36" s="35"/>
      <c r="F36" s="2"/>
    </row>
    <row r="37" spans="1:6" ht="15">
      <c r="C37" s="35" t="s">
        <v>72</v>
      </c>
      <c r="D37" s="87" t="s">
        <v>50</v>
      </c>
      <c r="E37" s="35"/>
    </row>
    <row r="38" spans="1:6" ht="15">
      <c r="A38" s="30" t="s">
        <v>38</v>
      </c>
      <c r="B38" s="35"/>
      <c r="C38" s="35" t="s">
        <v>73</v>
      </c>
      <c r="D38" s="87" t="s">
        <v>51</v>
      </c>
      <c r="E38"/>
      <c r="F38" s="28"/>
    </row>
    <row r="39" spans="1:6" ht="15.6">
      <c r="A39" s="31" t="s">
        <v>21</v>
      </c>
      <c r="D39" s="87" t="s">
        <v>48</v>
      </c>
      <c r="E39" s="35"/>
      <c r="F39" s="28"/>
    </row>
    <row r="40" spans="1:6" ht="15.6">
      <c r="A40" s="31" t="s">
        <v>76</v>
      </c>
      <c r="B40" s="31" t="s">
        <v>22</v>
      </c>
      <c r="D40" s="87" t="s">
        <v>52</v>
      </c>
      <c r="E40" s="35"/>
      <c r="F40" s="28"/>
    </row>
    <row r="41" spans="1:6" ht="15.6">
      <c r="A41" s="31" t="s">
        <v>75</v>
      </c>
      <c r="B41" s="31" t="s">
        <v>81</v>
      </c>
      <c r="D41" s="87" t="s">
        <v>54</v>
      </c>
      <c r="E41" s="35"/>
      <c r="F41" s="20"/>
    </row>
    <row r="42" spans="1:6" ht="15.6">
      <c r="A42" s="31" t="s">
        <v>74</v>
      </c>
      <c r="B42" s="31" t="s">
        <v>80</v>
      </c>
      <c r="D42" s="87" t="s">
        <v>53</v>
      </c>
      <c r="E42" s="35"/>
      <c r="F42" s="20"/>
    </row>
    <row r="43" spans="1:6" ht="15.6">
      <c r="A43" s="31" t="s">
        <v>77</v>
      </c>
      <c r="B43" s="31" t="s">
        <v>79</v>
      </c>
      <c r="E43" s="35"/>
    </row>
    <row r="44" spans="1:6" ht="15.6">
      <c r="A44" s="31" t="s">
        <v>78</v>
      </c>
      <c r="B44" s="31" t="s">
        <v>19</v>
      </c>
      <c r="E44" s="35"/>
    </row>
    <row r="45" spans="1:6" ht="15.6">
      <c r="B45" s="83"/>
      <c r="E45" s="35"/>
    </row>
    <row r="46" spans="1:6" ht="15">
      <c r="A46" s="35"/>
      <c r="B46" s="35"/>
      <c r="C46" s="35"/>
    </row>
    <row r="47" spans="1:6" ht="15">
      <c r="A47" s="35"/>
      <c r="B47" s="35"/>
      <c r="C47" s="35"/>
    </row>
    <row r="48" spans="1:6" ht="15">
      <c r="A48" s="35"/>
      <c r="B48" s="35"/>
      <c r="C48" s="35"/>
    </row>
    <row r="49" spans="1:5" ht="15">
      <c r="A49" s="35"/>
      <c r="B49" s="35"/>
      <c r="C49" s="35"/>
    </row>
    <row r="50" spans="1:5" ht="15">
      <c r="A50" s="35"/>
      <c r="B50" s="35"/>
      <c r="C50" s="35"/>
    </row>
    <row r="51" spans="1:5" ht="15">
      <c r="A51" s="35"/>
      <c r="B51" s="35"/>
      <c r="C51" s="35"/>
      <c r="D51" s="35"/>
      <c r="E51" s="35"/>
    </row>
    <row r="52" spans="1:5" ht="15.6">
      <c r="A52" s="35"/>
      <c r="B52" s="35"/>
      <c r="C52" s="47"/>
      <c r="D52" s="35"/>
      <c r="E52" s="35"/>
    </row>
    <row r="53" spans="1:5" ht="15.6">
      <c r="A53" s="35"/>
      <c r="B53" s="35"/>
      <c r="C53" s="47"/>
      <c r="D53" s="35"/>
      <c r="E53" s="35"/>
    </row>
    <row r="54" spans="1:5" ht="15.6">
      <c r="A54" s="35"/>
      <c r="B54" s="35"/>
      <c r="C54" s="47"/>
      <c r="D54" s="35"/>
      <c r="E54" s="35"/>
    </row>
    <row r="55" spans="1:5" ht="15">
      <c r="A55" s="35"/>
      <c r="B55" s="35"/>
      <c r="C55" s="35"/>
      <c r="D55" s="35"/>
      <c r="E55" s="35"/>
    </row>
    <row r="56" spans="1:5" ht="15">
      <c r="A56" s="35"/>
      <c r="B56" s="35"/>
      <c r="C56" s="35"/>
      <c r="D56" s="35"/>
      <c r="E56" s="35"/>
    </row>
  </sheetData>
  <phoneticPr fontId="0" type="noConversion"/>
  <pageMargins left="0.47" right="0.47" top="0.25" bottom="0.25" header="0" footer="0"/>
  <pageSetup scale="80" orientation="landscape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Bowman, Lynn</dc:creator>
  <cp:lastModifiedBy>Bowman, Lynn</cp:lastModifiedBy>
  <cp:lastPrinted>2017-10-23T14:04:55Z</cp:lastPrinted>
  <dcterms:created xsi:type="dcterms:W3CDTF">2009-09-27T18:58:18Z</dcterms:created>
  <dcterms:modified xsi:type="dcterms:W3CDTF">2017-10-23T14:05:31Z</dcterms:modified>
</cp:coreProperties>
</file>